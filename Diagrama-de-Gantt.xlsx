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codeName="ThisWorkbook"/>
  <xr:revisionPtr revIDLastSave="0" documentId="8_{8FE1E96E-F869-4FC5-9DB1-95850617270F}" xr6:coauthVersionLast="47" xr6:coauthVersionMax="47" xr10:uidLastSave="{00000000-0000-0000-0000-000000000000}"/>
  <bookViews>
    <workbookView xWindow="-110" yWindow="-110" windowWidth="19420" windowHeight="10300" xr2:uid="{00000000-000D-0000-FFFF-FFFF00000000}"/>
  </bookViews>
  <sheets>
    <sheet name="calendarioproyecto" sheetId="11" r:id="rId1"/>
    <sheet name="DESCARGA DE RESPONSABILIDAD" sheetId="13" r:id="rId2"/>
  </sheets>
  <externalReferences>
    <externalReference r:id="rId3"/>
    <externalReference r:id="rId4"/>
    <externalReference r:id="rId5"/>
  </externalReferences>
  <definedNames>
    <definedName name="CIQWBGuid" hidden="1">"2cd8126d-26c3-430c-b7fa-a069e3a1fc62"</definedName>
    <definedName name="CODIGO1">[1]DIARIO!$C$12:$C$501</definedName>
    <definedName name="CODIGO2">[2]BALANCE!$A1</definedName>
    <definedName name="DEBE">[1]DIARIO!$F$12:$F$501</definedName>
    <definedName name="Fecha_final" localSheetId="0">calendarioproyecto!$F1</definedName>
    <definedName name="Fecha_incio" localSheetId="0">calendarioproyecto!$E1</definedName>
    <definedName name="HABER">[1]DIARIO!$G$12:$G$501</definedName>
    <definedName name="hoy" localSheetId="0">TODAY()</definedName>
    <definedName name="InicioDelProyecto">calendarioproyecto!$E$3</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41666.7099189815</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Progresos" localSheetId="0">calendarioproyecto!$D1</definedName>
    <definedName name="SemanaParaMostrar">calendarioproyecto!$E$4</definedName>
    <definedName name="_xlnm.Print_Titles" localSheetId="0">calendarioproyecto!$4:$6</definedName>
    <definedName name="Type">'[3]Maintenance Work Order'!#REF!</definedName>
  </definedName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 i="11" l="1"/>
  <c r="E9" i="11" s="1"/>
  <c r="F9" i="11" s="1"/>
  <c r="E10" i="11" s="1"/>
  <c r="F10" i="11" s="1"/>
  <c r="E11" i="11" s="1"/>
  <c r="F11" i="11" s="1"/>
  <c r="E13" i="11" s="1"/>
  <c r="H7" i="11"/>
  <c r="I5" i="11" l="1"/>
  <c r="H29" i="11"/>
  <c r="H28" i="11"/>
  <c r="H23" i="11"/>
  <c r="H16" i="11"/>
  <c r="H12" i="11"/>
  <c r="H8" i="11"/>
  <c r="H9" i="11" l="1"/>
  <c r="I6" i="11"/>
  <c r="F13" i="11" l="1"/>
  <c r="J5" i="11"/>
  <c r="K5" i="11" s="1"/>
  <c r="L5" i="11" s="1"/>
  <c r="M5" i="11" s="1"/>
  <c r="N5" i="11" s="1"/>
  <c r="O5" i="11" s="1"/>
  <c r="P5" i="11" s="1"/>
  <c r="Q5" i="11" l="1"/>
  <c r="R5" i="11" s="1"/>
  <c r="P6" i="11"/>
  <c r="H13" i="11"/>
  <c r="E14" i="11"/>
  <c r="H10" i="11"/>
  <c r="H11" i="11"/>
  <c r="J6" i="11"/>
  <c r="Q6" i="11" l="1"/>
  <c r="F14" i="11"/>
  <c r="E15" i="11" s="1"/>
  <c r="K6" i="11"/>
  <c r="R6" i="11" l="1"/>
  <c r="S5" i="11"/>
  <c r="F15" i="11"/>
  <c r="E17" i="11" s="1"/>
  <c r="F17" i="11" s="1"/>
  <c r="H14" i="11"/>
  <c r="L6" i="11"/>
  <c r="S6" i="11" l="1"/>
  <c r="T5" i="11"/>
  <c r="E18" i="11"/>
  <c r="F18" i="11" s="1"/>
  <c r="H15" i="11"/>
  <c r="M6" i="11"/>
  <c r="T6" i="11" l="1"/>
  <c r="U5" i="11"/>
  <c r="H17" i="11"/>
  <c r="N6" i="11"/>
  <c r="V5" i="11" l="1"/>
  <c r="U6" i="11"/>
  <c r="E19" i="11"/>
  <c r="F19" i="11" s="1"/>
  <c r="H18" i="11"/>
  <c r="O6" i="11"/>
  <c r="W5" i="11" l="1"/>
  <c r="V6" i="11"/>
  <c r="E20" i="11"/>
  <c r="F20" i="11" s="1"/>
  <c r="X5" i="11" l="1"/>
  <c r="Y5" i="11" s="1"/>
  <c r="Z5" i="11" s="1"/>
  <c r="AA5" i="11" s="1"/>
  <c r="AB5" i="11" s="1"/>
  <c r="AC5" i="11" s="1"/>
  <c r="AD5" i="11" s="1"/>
  <c r="E21" i="11"/>
  <c r="H20" i="11"/>
  <c r="H19" i="11"/>
  <c r="AE5" i="11" l="1"/>
  <c r="AF5" i="11" s="1"/>
  <c r="AG5" i="11" s="1"/>
  <c r="AH5" i="11" s="1"/>
  <c r="AI5" i="11" s="1"/>
  <c r="AJ5" i="11" s="1"/>
  <c r="AK5" i="11" s="1"/>
  <c r="F21" i="11"/>
  <c r="E22" i="11" s="1"/>
  <c r="AL5" i="11" l="1"/>
  <c r="AM5" i="11" s="1"/>
  <c r="AN5" i="11" s="1"/>
  <c r="AO5" i="11" s="1"/>
  <c r="AP5" i="11" s="1"/>
  <c r="AQ5" i="11" s="1"/>
  <c r="AR5" i="11" s="1"/>
  <c r="F22" i="11"/>
  <c r="AS5" i="11" l="1"/>
  <c r="H22" i="11"/>
  <c r="E24" i="11"/>
  <c r="AT5" i="11" l="1"/>
  <c r="AS6" i="11"/>
  <c r="F24" i="11"/>
  <c r="E25" i="11" s="1"/>
  <c r="H24" i="11" l="1"/>
  <c r="AU5" i="11"/>
  <c r="AT6" i="11"/>
  <c r="F25" i="11"/>
  <c r="E26" i="11" s="1"/>
  <c r="H25" i="11" l="1"/>
  <c r="AV5" i="11"/>
  <c r="AW5" i="11" s="1"/>
  <c r="AU6" i="11"/>
  <c r="F26" i="11"/>
  <c r="E27" i="11" s="1"/>
  <c r="W6" i="11"/>
  <c r="AW6" i="11" l="1"/>
  <c r="AX5" i="11"/>
  <c r="AV6" i="11"/>
  <c r="F27" i="11"/>
  <c r="H27" i="11" s="1"/>
  <c r="H26" i="11"/>
  <c r="X6" i="11"/>
  <c r="AY5" i="11" l="1"/>
  <c r="AX6" i="11"/>
  <c r="Y6" i="11"/>
  <c r="AZ5" i="11" l="1"/>
  <c r="AY6" i="11"/>
  <c r="Z6" i="11"/>
  <c r="AZ6" i="11" l="1"/>
  <c r="BA5" i="11"/>
  <c r="AA6" i="11"/>
  <c r="BB5" i="11" l="1"/>
  <c r="BA6" i="11"/>
  <c r="AB6" i="11"/>
  <c r="BB6" i="11" l="1"/>
  <c r="BC5" i="11"/>
  <c r="AC6" i="11"/>
  <c r="BD5" i="11" l="1"/>
  <c r="BC6" i="11"/>
  <c r="AD6" i="11"/>
  <c r="BE5" i="11" l="1"/>
  <c r="BD6" i="11"/>
  <c r="AE6" i="11"/>
  <c r="BE6" i="11" l="1"/>
  <c r="BF5" i="11"/>
  <c r="AF6" i="11"/>
  <c r="BG5" i="11" l="1"/>
  <c r="BF6" i="11"/>
  <c r="AG6" i="11"/>
  <c r="BH5" i="11" l="1"/>
  <c r="BG6" i="11"/>
  <c r="AH6" i="11"/>
  <c r="BI5" i="11" l="1"/>
  <c r="BH6" i="11"/>
  <c r="AI6" i="11"/>
  <c r="BJ5" i="11" l="1"/>
  <c r="BI6" i="11"/>
  <c r="AJ6" i="11"/>
  <c r="BK5" i="11" l="1"/>
  <c r="BJ6" i="11"/>
  <c r="AK6" i="11"/>
  <c r="BL5" i="11" l="1"/>
  <c r="BK6" i="11"/>
  <c r="AL6" i="11"/>
  <c r="BL6" i="11" l="1"/>
  <c r="BM5" i="11"/>
  <c r="AM6" i="11"/>
  <c r="BN5" i="11" l="1"/>
  <c r="BM6" i="11"/>
  <c r="AN6" i="11"/>
  <c r="BO5" i="11" l="1"/>
  <c r="BN6" i="11"/>
  <c r="AO6" i="11"/>
  <c r="BO6" i="11" l="1"/>
  <c r="BP5" i="11"/>
  <c r="AP6" i="11"/>
  <c r="BP6" i="11" l="1"/>
  <c r="BQ5" i="11"/>
  <c r="AQ6" i="11"/>
  <c r="BQ6" i="11" l="1"/>
  <c r="BR5" i="11"/>
  <c r="AR6" i="11"/>
  <c r="BR6" i="11" l="1"/>
  <c r="BS5" i="11"/>
  <c r="BS6" i="11" l="1"/>
  <c r="BT5" i="11"/>
  <c r="BT6" i="11" l="1"/>
  <c r="BU5" i="11"/>
  <c r="BV5" i="11" l="1"/>
  <c r="BU6" i="11"/>
  <c r="BW5" i="11" l="1"/>
  <c r="BV6" i="11"/>
  <c r="BW6" i="11" l="1"/>
  <c r="BX5" i="11"/>
  <c r="BY5" i="11" l="1"/>
  <c r="BX6" i="11"/>
  <c r="BY6" i="11" l="1"/>
  <c r="BZ5" i="11"/>
  <c r="BZ6" i="11" l="1"/>
  <c r="CA5" i="11"/>
  <c r="CB5" i="11" l="1"/>
  <c r="CA6" i="11"/>
  <c r="CB6" i="11" l="1"/>
  <c r="CC5" i="11"/>
  <c r="CC6" i="11" l="1"/>
  <c r="CD5" i="11"/>
  <c r="CE5" i="11" l="1"/>
  <c r="CD6" i="11"/>
  <c r="CE6" i="11" l="1"/>
  <c r="CF5" i="11"/>
  <c r="CF6" i="11" l="1"/>
  <c r="CG5" i="11"/>
  <c r="CG6" i="11" l="1"/>
  <c r="CH5" i="11"/>
  <c r="CI5" i="11" l="1"/>
  <c r="CH6" i="11"/>
  <c r="CJ5" i="11" l="1"/>
  <c r="CI6" i="11"/>
  <c r="CK5" i="11" l="1"/>
  <c r="CJ6" i="11"/>
  <c r="CL5" i="11" l="1"/>
  <c r="CK6" i="11"/>
  <c r="CL6" i="11" l="1"/>
  <c r="CM5" i="11"/>
  <c r="CN5" i="11" l="1"/>
  <c r="CM6" i="11"/>
  <c r="CN6" i="11" l="1"/>
  <c r="CO5" i="11"/>
  <c r="CO6" i="11" l="1"/>
  <c r="CP5" i="11"/>
  <c r="CQ5" i="11" l="1"/>
  <c r="CP6" i="11"/>
  <c r="CQ6" i="11" l="1"/>
  <c r="CR5" i="11"/>
  <c r="CR6" i="11" l="1"/>
  <c r="CS5" i="11"/>
  <c r="CS6" i="11" l="1"/>
  <c r="CT5" i="11"/>
  <c r="CU5" i="11" l="1"/>
  <c r="CT6" i="11"/>
  <c r="CV5" i="11" l="1"/>
  <c r="CU6" i="11"/>
  <c r="CW5" i="11" l="1"/>
  <c r="CV6" i="11"/>
  <c r="CX5" i="11" l="1"/>
  <c r="CW6" i="11"/>
  <c r="CX6" i="11" l="1"/>
  <c r="CY5" i="11"/>
  <c r="CZ5" i="11" l="1"/>
  <c r="CY6" i="11"/>
  <c r="CZ6" i="11" l="1"/>
  <c r="DA5" i="11"/>
  <c r="DB5" i="11" l="1"/>
  <c r="DA6" i="11"/>
  <c r="DB6" i="11" l="1"/>
  <c r="DC5" i="11"/>
  <c r="DD5" i="11" l="1"/>
  <c r="DC6" i="11"/>
  <c r="DD6" i="11" l="1"/>
  <c r="DE5" i="11"/>
  <c r="DE6" i="11" l="1"/>
  <c r="DF5" i="11"/>
  <c r="DF6" i="11" l="1"/>
  <c r="DG5" i="11"/>
  <c r="DH5" i="11" l="1"/>
  <c r="DG6" i="11"/>
  <c r="DH6" i="11" l="1"/>
  <c r="DI5" i="11"/>
  <c r="DI6" i="11" l="1"/>
  <c r="DJ5" i="11"/>
  <c r="DJ6" i="11" l="1"/>
  <c r="DK5" i="11"/>
  <c r="DL5" i="11" l="1"/>
  <c r="DK6" i="11"/>
  <c r="DM5" i="11" l="1"/>
  <c r="DL6" i="11"/>
  <c r="DM6" i="11" l="1"/>
  <c r="DN5" i="11"/>
  <c r="DN6" i="11" l="1"/>
  <c r="DO5" i="11"/>
  <c r="DO6" i="11" l="1"/>
  <c r="DP5" i="11"/>
  <c r="DP6" i="11" s="1"/>
</calcChain>
</file>

<file path=xl/sharedStrings.xml><?xml version="1.0" encoding="utf-8"?>
<sst xmlns="http://schemas.openxmlformats.org/spreadsheetml/2006/main" count="55" uniqueCount="53">
  <si>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</si>
  <si>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</si>
  <si>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</si>
  <si>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</si>
  <si>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</si>
  <si>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</si>
  <si>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</si>
  <si>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</si>
  <si>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</si>
  <si>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</si>
  <si>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</si>
  <si>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</si>
  <si>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</si>
  <si>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Esta fila indica el final de la programación del proyecto. NO escriba nada en esta fila. 
Inserte nuevas filas encima de ésta para continuar creando la programación del proyecto.</t>
  </si>
  <si>
    <t>TÍTULO DEL PROYECTO</t>
  </si>
  <si>
    <t>Nombre de la compañía</t>
  </si>
  <si>
    <t>Responsable del proyecto</t>
  </si>
  <si>
    <t>TAREA</t>
  </si>
  <si>
    <t>Inserte nuevas filas ENCIMA de ésta</t>
  </si>
  <si>
    <t>Inicio del proyecto:</t>
  </si>
  <si>
    <t>Semana para mostrar:</t>
  </si>
  <si>
    <t>ASIGNADO
A</t>
  </si>
  <si>
    <t>Nombre</t>
  </si>
  <si>
    <t>PROGRESO</t>
  </si>
  <si>
    <t>INICIO</t>
  </si>
  <si>
    <t>FIN</t>
  </si>
  <si>
    <t>DÍAS</t>
  </si>
  <si>
    <t xml:space="preserve">GRÁFICO GANTT  </t>
  </si>
  <si>
    <t>Cualquier artículo, plantilla o información proporcionada por Siempreexcel en el sitio web es solo para referencia y uso educactivo. Si bien nos esforzamos por mantener la información actualizada y correcta, no hacemos representaciones ni garantías de ningún tipo, expresas o implícitas, sobre la integridad, precisión, fiabilidad o disponibilidad con respecto al sitio web o la información, artículos, plantillas o gráficos relacionados contenidos en el sitio web. Por lo tanto, cualquier confianza que deposite en dicha información es estrictamente bajo su propio riesgo.</t>
  </si>
  <si>
    <t>Definición de objetivos y requerimientos</t>
  </si>
  <si>
    <t>Selección de stack tecnológico "Diagrama de Arquitectura"</t>
  </si>
  <si>
    <t>Diseño de arquitectura y base de datos</t>
  </si>
  <si>
    <t>CONFIGURACION INICAL</t>
  </si>
  <si>
    <t>Crear repositorio y estructura del proyecto</t>
  </si>
  <si>
    <t>PLANEACION</t>
  </si>
  <si>
    <t>Configurar entorno virtual y dependencias (FastAPI, React)</t>
  </si>
  <si>
    <t>Configurar conexión a BD local (PostgreSQL/MongoDB)</t>
  </si>
  <si>
    <t>DESARROLLO DEL BACKEND Y FRONTEND</t>
  </si>
  <si>
    <t>Implementar módulo Auth (registro/login JWT)</t>
  </si>
  <si>
    <t>Crear módulo Usuarios y Rutinas (CRUD básico)</t>
  </si>
  <si>
    <t>Agregar Tracking (progreso del usuario)</t>
  </si>
  <si>
    <t>Crear pantallas Login y Registro</t>
  </si>
  <si>
    <t>Dashboard principal (rutinas y progreso)</t>
  </si>
  <si>
    <t>Integración API con frontend</t>
  </si>
  <si>
    <t>PRUEBAS Y VERIFICACION</t>
  </si>
  <si>
    <t>Pruebas de endpoints (Swagger, Postman)</t>
  </si>
  <si>
    <t>Validar flujo completo usuario ? rutina ? Progreso</t>
  </si>
  <si>
    <t>Entrega final del proyecto</t>
  </si>
  <si>
    <t>SEPTIEMBRE</t>
  </si>
  <si>
    <t>OCTUBRE</t>
  </si>
  <si>
    <t>NOVIEMBRE</t>
  </si>
  <si>
    <t>DICIEMBRE</t>
  </si>
  <si>
    <t>ENERO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</si>
</sst>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_);_(* \(#,##0\);_(* &quot;-&quot;_);_(@_)"/>
    <numFmt numFmtId="165" formatCode="_(* #,##0.00_);_(* \(#,##0.00\);_(* &quot;-&quot;??_);_(@_)"/>
    <numFmt numFmtId="166" formatCode="_-* #,##0\ &quot;€&quot;_-;\-* #,##0\ &quot;€&quot;_-;_-* &quot;-&quot;\ &quot;€&quot;_-;_-@_-"/>
    <numFmt numFmtId="167" formatCode="_-* #,##0.00\ &quot;€&quot;_-;\-* #,##0.00\ &quot;€&quot;_-;_-* &quot;-&quot;??\ &quot;€&quot;_-;_-@_-"/>
    <numFmt numFmtId="168" formatCode="m/d/yy;@"/>
    <numFmt numFmtId="169" formatCode="d\-m\-yy;@"/>
    <numFmt numFmtId="170" formatCode="ddd\,\ dd/mm/yyyy"/>
    <numFmt numFmtId="172" formatCode="d"/>
  </numFmts>
  <fonts count="31"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2"/>
      <color theme="1"/>
      <name val="Arial"/>
      <family val="2"/>
    </font>
    <font>
      <sz val="9"/>
      <color theme="0"/>
      <name val="Calibri"/>
      <family val="2"/>
      <scheme val="minor"/>
    </font>
    <font>
      <b/>
      <sz val="16"/>
      <color theme="1"/>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rgb="FF00B050"/>
        <bgColor theme="4"/>
      </patternFill>
    </fill>
    <fill>
      <patternFill patternType="solid">
        <fgColor rgb="FFFFFF00"/>
        <bgColor indexed="64"/>
      </patternFill>
    </fill>
  </fills>
  <borders count="4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theme="0" tint="-0.34998626667073579"/>
      </left>
      <right/>
      <top/>
      <bottom/>
      <diagonal/>
    </border>
    <border>
      <left/>
      <right style="thin">
        <color theme="0" tint="-0.34998626667073579"/>
      </right>
      <top/>
      <bottom style="medium">
        <color theme="0" tint="-0.14996795556505021"/>
      </bottom>
      <diagonal/>
    </border>
    <border>
      <left/>
      <right style="thin">
        <color theme="0" tint="-0.14993743705557422"/>
      </right>
      <top style="medium">
        <color theme="0" tint="-0.14996795556505021"/>
      </top>
      <bottom style="medium">
        <color theme="0" tint="-0.14996795556505021"/>
      </bottom>
      <diagonal/>
    </border>
    <border>
      <left style="thin">
        <color theme="0" tint="-0.14993743705557422"/>
      </left>
      <right style="thin">
        <color theme="0" tint="-0.14993743705557422"/>
      </right>
      <top/>
      <bottom style="medium">
        <color theme="0" tint="-0.14996795556505021"/>
      </bottom>
      <diagonal/>
    </border>
    <border>
      <left style="thin">
        <color theme="0" tint="-0.34998626667073579"/>
      </left>
      <right/>
      <top/>
      <bottom style="medium">
        <color theme="0" tint="-0.14996795556505021"/>
      </bottom>
      <diagonal/>
    </border>
    <border>
      <left style="thin">
        <color theme="0" tint="-0.14993743705557422"/>
      </left>
      <right/>
      <top style="medium">
        <color theme="0" tint="-0.14996795556505021"/>
      </top>
      <bottom style="medium">
        <color theme="0" tint="-0.149967955565050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theme="0" tint="-0.34998626667073579"/>
      </right>
      <top/>
      <bottom style="medium">
        <color theme="0" tint="-0.14996795556505021"/>
      </bottom>
      <diagonal/>
    </border>
    <border>
      <left style="thin">
        <color theme="0" tint="-0.34998626667073579"/>
      </left>
      <right style="thin">
        <color indexed="64"/>
      </right>
      <top/>
      <bottom style="medium">
        <color theme="0" tint="-0.14996795556505021"/>
      </bottom>
      <diagonal/>
    </border>
    <border>
      <left style="thin">
        <color indexed="64"/>
      </left>
      <right style="thin">
        <color theme="0" tint="-0.14993743705557422"/>
      </right>
      <top style="medium">
        <color theme="0" tint="-0.14996795556505021"/>
      </top>
      <bottom style="medium">
        <color theme="0" tint="-0.14996795556505021"/>
      </bottom>
      <diagonal/>
    </border>
    <border>
      <left style="thin">
        <color theme="0" tint="-0.14993743705557422"/>
      </left>
      <right style="thin">
        <color indexed="64"/>
      </right>
      <top style="medium">
        <color theme="0" tint="-0.14996795556505021"/>
      </top>
      <bottom style="medium">
        <color theme="0" tint="-0.14996795556505021"/>
      </bottom>
      <diagonal/>
    </border>
    <border>
      <left style="thin">
        <color indexed="64"/>
      </left>
      <right style="thin">
        <color theme="0" tint="-0.14993743705557422"/>
      </right>
      <top style="medium">
        <color theme="0" tint="-0.14996795556505021"/>
      </top>
      <bottom style="thin">
        <color indexed="64"/>
      </bottom>
      <diagonal/>
    </border>
    <border>
      <left style="thin">
        <color theme="0" tint="-0.14993743705557422"/>
      </left>
      <right style="thin">
        <color theme="0" tint="-0.14993743705557422"/>
      </right>
      <top style="medium">
        <color theme="0" tint="-0.14996795556505021"/>
      </top>
      <bottom style="thin">
        <color indexed="64"/>
      </bottom>
      <diagonal/>
    </border>
    <border>
      <left style="thin">
        <color theme="0" tint="-0.14993743705557422"/>
      </left>
      <right style="thin">
        <color indexed="64"/>
      </right>
      <top style="medium">
        <color theme="0" tint="-0.14996795556505021"/>
      </top>
      <bottom style="thin">
        <color indexed="64"/>
      </bottom>
      <diagonal/>
    </border>
    <border>
      <left style="thin">
        <color theme="0" tint="-0.14993743705557422"/>
      </left>
      <right/>
      <top style="medium">
        <color theme="0" tint="-0.14996795556505021"/>
      </top>
      <bottom style="thin">
        <color indexed="64"/>
      </bottom>
      <diagonal/>
    </border>
    <border>
      <left style="thin">
        <color theme="0" tint="-0.14993743705557422"/>
      </left>
      <right/>
      <top/>
      <bottom style="medium">
        <color theme="0" tint="-0.14996795556505021"/>
      </bottom>
      <diagonal/>
    </border>
    <border>
      <left/>
      <right style="thin">
        <color theme="0" tint="-0.14993743705557422"/>
      </right>
      <top style="medium">
        <color theme="0" tint="-0.14996795556505021"/>
      </top>
      <bottom style="thin">
        <color indexed="64"/>
      </bottom>
      <diagonal/>
    </border>
    <border>
      <left/>
      <right style="thin">
        <color theme="0" tint="-0.14993743705557422"/>
      </right>
      <top/>
      <bottom style="medium">
        <color theme="0" tint="-0.14996795556505021"/>
      </bottom>
      <diagonal/>
    </border>
    <border>
      <left style="thin">
        <color indexed="64"/>
      </left>
      <right style="thin">
        <color indexed="64"/>
      </right>
      <top style="thin">
        <color indexed="64"/>
      </top>
      <bottom/>
      <diagonal/>
    </border>
    <border>
      <left style="thin">
        <color indexed="64"/>
      </left>
      <right style="thin">
        <color indexed="64"/>
      </right>
      <top/>
      <bottom style="medium">
        <color theme="0" tint="-0.14996795556505021"/>
      </bottom>
      <diagonal/>
    </border>
    <border>
      <left style="thin">
        <color indexed="64"/>
      </left>
      <right style="thin">
        <color indexed="64"/>
      </right>
      <top style="medium">
        <color theme="0" tint="-0.14996795556505021"/>
      </top>
      <bottom style="medium">
        <color theme="0" tint="-0.14996795556505021"/>
      </bottom>
      <diagonal/>
    </border>
    <border>
      <left style="thin">
        <color indexed="64"/>
      </left>
      <right style="thin">
        <color indexed="64"/>
      </right>
      <top style="medium">
        <color theme="0" tint="-0.14996795556505021"/>
      </top>
      <bottom style="thin">
        <color indexed="64"/>
      </bottom>
      <diagonal/>
    </border>
  </borders>
  <cellStyleXfs count="55">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15" fillId="0" borderId="0"/>
    <xf numFmtId="165" fontId="9" fillId="0" borderId="3" applyFont="0" applyFill="0" applyAlignment="0" applyProtection="0"/>
    <xf numFmtId="0" fontId="12"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70" fontId="9" fillId="0" borderId="3">
      <alignment horizontal="center" vertical="center"/>
    </xf>
    <xf numFmtId="168"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16" fillId="0" borderId="0" applyNumberFormat="0" applyFill="0" applyBorder="0" applyAlignment="0" applyProtection="0"/>
    <xf numFmtId="164" fontId="9" fillId="0" borderId="0" applyFont="0" applyFill="0" applyBorder="0" applyAlignment="0" applyProtection="0"/>
    <xf numFmtId="167" fontId="9" fillId="0" borderId="0" applyFont="0" applyFill="0" applyBorder="0" applyAlignment="0" applyProtection="0"/>
    <xf numFmtId="166" fontId="9" fillId="0" borderId="0" applyFont="0" applyFill="0" applyBorder="0" applyAlignment="0" applyProtection="0"/>
    <xf numFmtId="0" fontId="17" fillId="0" borderId="0" applyNumberFormat="0" applyFill="0" applyBorder="0" applyAlignment="0" applyProtection="0"/>
    <xf numFmtId="0" fontId="18" fillId="11" borderId="0" applyNumberFormat="0" applyBorder="0" applyAlignment="0" applyProtection="0"/>
    <xf numFmtId="0" fontId="19" fillId="12" borderId="0" applyNumberFormat="0" applyBorder="0" applyAlignment="0" applyProtection="0"/>
    <xf numFmtId="0" fontId="20" fillId="13" borderId="0" applyNumberFormat="0" applyBorder="0" applyAlignment="0" applyProtection="0"/>
    <xf numFmtId="0" fontId="21" fillId="14" borderId="9" applyNumberFormat="0" applyAlignment="0" applyProtection="0"/>
    <xf numFmtId="0" fontId="22" fillId="15" borderId="10" applyNumberFormat="0" applyAlignment="0" applyProtection="0"/>
    <xf numFmtId="0" fontId="23" fillId="15" borderId="9" applyNumberFormat="0" applyAlignment="0" applyProtection="0"/>
    <xf numFmtId="0" fontId="24" fillId="0" borderId="11" applyNumberFormat="0" applyFill="0" applyAlignment="0" applyProtection="0"/>
    <xf numFmtId="0" fontId="25" fillId="16" borderId="12" applyNumberFormat="0" applyAlignment="0" applyProtection="0"/>
    <xf numFmtId="0" fontId="26" fillId="0" borderId="0" applyNumberFormat="0" applyFill="0" applyBorder="0" applyAlignment="0" applyProtection="0"/>
    <xf numFmtId="0" fontId="9" fillId="17" borderId="13" applyNumberFormat="0" applyFont="0" applyAlignment="0" applyProtection="0"/>
    <xf numFmtId="0" fontId="27" fillId="0" borderId="0" applyNumberFormat="0" applyFill="0" applyBorder="0" applyAlignment="0" applyProtection="0"/>
    <xf numFmtId="0" fontId="6" fillId="0" borderId="14" applyNumberFormat="0" applyFill="0" applyAlignment="0" applyProtection="0"/>
    <xf numFmtId="0" fontId="15"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15"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15"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15"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15"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15"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9" fillId="41" borderId="0" applyNumberFormat="0" applyBorder="0" applyAlignment="0" applyProtection="0"/>
    <xf numFmtId="0" fontId="9" fillId="0" borderId="0"/>
  </cellStyleXfs>
  <cellXfs count="117">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13" fillId="0" borderId="0" xfId="0" applyFont="1"/>
    <xf numFmtId="0" fontId="14"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7" borderId="2" xfId="0" applyFont="1" applyFill="1" applyBorder="1" applyAlignment="1">
      <alignment horizontal="left" vertical="center" indent="1"/>
    </xf>
    <xf numFmtId="9" fontId="5" fillId="7"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0"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9"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7" xfId="0" applyBorder="1" applyAlignment="1">
      <alignment vertical="center"/>
    </xf>
    <xf numFmtId="0" fontId="0" fillId="0" borderId="7" xfId="0" applyBorder="1" applyAlignment="1">
      <alignment horizontal="right" vertical="center"/>
    </xf>
    <xf numFmtId="0" fontId="0" fillId="2" borderId="7" xfId="0" applyFill="1" applyBorder="1" applyAlignment="1">
      <alignment vertical="center"/>
    </xf>
    <xf numFmtId="0" fontId="2" fillId="0" borderId="0" xfId="0" applyFont="1" applyAlignment="1">
      <alignment horizontal="center" vertical="center"/>
    </xf>
    <xf numFmtId="0" fontId="15" fillId="0" borderId="0" xfId="3"/>
    <xf numFmtId="0" fontId="15" fillId="0" borderId="0" xfId="3" applyAlignment="1">
      <alignment wrapText="1"/>
    </xf>
    <xf numFmtId="0" fontId="15" fillId="0" borderId="0" xfId="0" applyFont="1" applyAlignment="1">
      <alignment horizontal="center"/>
    </xf>
    <xf numFmtId="0" fontId="14" fillId="0" borderId="0" xfId="1" applyFont="1" applyProtection="1">
      <alignment vertical="top"/>
    </xf>
    <xf numFmtId="0" fontId="0" fillId="0" borderId="0" xfId="0" applyAlignment="1">
      <alignment wrapText="1"/>
    </xf>
    <xf numFmtId="0" fontId="12" fillId="0" borderId="0" xfId="5" applyAlignment="1">
      <alignment horizontal="left"/>
    </xf>
    <xf numFmtId="0" fontId="10" fillId="0" borderId="0" xfId="6"/>
    <xf numFmtId="0" fontId="10" fillId="0" borderId="0" xfId="7">
      <alignment vertical="top"/>
    </xf>
    <xf numFmtId="0" fontId="9" fillId="7" borderId="2" xfId="11" applyFill="1">
      <alignment horizontal="center" vertical="center"/>
    </xf>
    <xf numFmtId="0" fontId="9" fillId="3" borderId="2" xfId="11" applyFill="1">
      <alignment horizontal="center" vertical="center"/>
    </xf>
    <xf numFmtId="0" fontId="9" fillId="8"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0" borderId="2" xfId="11" applyFill="1">
      <alignment horizontal="center" vertical="center"/>
    </xf>
    <xf numFmtId="0" fontId="9" fillId="5" borderId="2" xfId="11" applyFill="1">
      <alignment horizontal="center" vertical="center"/>
    </xf>
    <xf numFmtId="0" fontId="9" fillId="9"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0" borderId="2" xfId="12" applyFill="1">
      <alignment horizontal="left" vertical="center" indent="2"/>
    </xf>
    <xf numFmtId="0" fontId="9" fillId="9" borderId="2" xfId="12" applyFill="1">
      <alignment horizontal="left" vertical="center" indent="2"/>
    </xf>
    <xf numFmtId="0" fontId="9" fillId="0" borderId="2" xfId="12">
      <alignment horizontal="left" vertical="center" indent="2"/>
    </xf>
    <xf numFmtId="169" fontId="0" fillId="7" borderId="2" xfId="0" applyNumberFormat="1" applyFill="1" applyBorder="1" applyAlignment="1">
      <alignment horizontal="center" vertical="center"/>
    </xf>
    <xf numFmtId="169" fontId="5" fillId="7" borderId="2" xfId="0" applyNumberFormat="1" applyFont="1" applyFill="1" applyBorder="1" applyAlignment="1">
      <alignment horizontal="center" vertical="center"/>
    </xf>
    <xf numFmtId="169" fontId="9" fillId="3" borderId="2" xfId="10" applyNumberFormat="1" applyFill="1">
      <alignment horizontal="center" vertical="center"/>
    </xf>
    <xf numFmtId="169" fontId="0" fillId="8" borderId="2" xfId="0" applyNumberFormat="1" applyFill="1" applyBorder="1" applyAlignment="1">
      <alignment horizontal="center" vertical="center"/>
    </xf>
    <xf numFmtId="169" fontId="5" fillId="8" borderId="2" xfId="0" applyNumberFormat="1" applyFont="1" applyFill="1" applyBorder="1" applyAlignment="1">
      <alignment horizontal="center" vertical="center"/>
    </xf>
    <xf numFmtId="169" fontId="9" fillId="4" borderId="2" xfId="10" applyNumberFormat="1" applyFill="1">
      <alignment horizontal="center" vertical="center"/>
    </xf>
    <xf numFmtId="169" fontId="0" fillId="6" borderId="2" xfId="0" applyNumberFormat="1" applyFill="1" applyBorder="1" applyAlignment="1">
      <alignment horizontal="center" vertical="center"/>
    </xf>
    <xf numFmtId="169" fontId="5" fillId="6" borderId="2" xfId="0" applyNumberFormat="1" applyFont="1" applyFill="1" applyBorder="1" applyAlignment="1">
      <alignment horizontal="center" vertical="center"/>
    </xf>
    <xf numFmtId="169" fontId="9" fillId="10" borderId="2" xfId="10" applyNumberFormat="1" applyFill="1">
      <alignment horizontal="center" vertical="center"/>
    </xf>
    <xf numFmtId="169" fontId="0" fillId="5" borderId="2" xfId="0" applyNumberFormat="1" applyFill="1" applyBorder="1" applyAlignment="1">
      <alignment horizontal="center" vertical="center"/>
    </xf>
    <xf numFmtId="169" fontId="5" fillId="5" borderId="2" xfId="0" applyNumberFormat="1" applyFont="1" applyFill="1" applyBorder="1" applyAlignment="1">
      <alignment horizontal="center" vertical="center"/>
    </xf>
    <xf numFmtId="169" fontId="9" fillId="9" borderId="2" xfId="10" applyNumberFormat="1" applyFill="1">
      <alignment horizontal="center" vertical="center"/>
    </xf>
    <xf numFmtId="169" fontId="9" fillId="0" borderId="2" xfId="10" applyNumberFormat="1">
      <alignment horizontal="center" vertical="center"/>
    </xf>
    <xf numFmtId="169" fontId="4" fillId="2" borderId="2" xfId="0" applyNumberFormat="1" applyFont="1" applyFill="1" applyBorder="1" applyAlignment="1">
      <alignment horizontal="left" vertical="center"/>
    </xf>
    <xf numFmtId="169" fontId="5" fillId="2" borderId="2" xfId="0" applyNumberFormat="1" applyFont="1" applyFill="1" applyBorder="1" applyAlignment="1">
      <alignment horizontal="center" vertical="center"/>
    </xf>
    <xf numFmtId="0" fontId="0" fillId="0" borderId="0" xfId="0" applyFill="1"/>
    <xf numFmtId="0" fontId="9" fillId="0" borderId="0" xfId="54"/>
    <xf numFmtId="0" fontId="28" fillId="0" borderId="15" xfId="54" applyFont="1" applyBorder="1" applyAlignment="1">
      <alignment horizontal="left" vertical="center" wrapText="1" indent="2"/>
    </xf>
    <xf numFmtId="0" fontId="7" fillId="43" borderId="1" xfId="0" applyFont="1" applyFill="1" applyBorder="1" applyAlignment="1">
      <alignment horizontal="left" vertical="center" indent="1"/>
    </xf>
    <xf numFmtId="0" fontId="7" fillId="43" borderId="1" xfId="0" applyFont="1" applyFill="1" applyBorder="1" applyAlignment="1">
      <alignment horizontal="center" vertical="center" wrapText="1"/>
    </xf>
    <xf numFmtId="0" fontId="11" fillId="42" borderId="6" xfId="0" applyFont="1" applyFill="1" applyBorder="1" applyAlignment="1">
      <alignment horizontal="center" vertical="center" shrinkToFit="1"/>
    </xf>
    <xf numFmtId="172" fontId="29" fillId="42" borderId="4" xfId="0" applyNumberFormat="1" applyFont="1" applyFill="1" applyBorder="1" applyAlignment="1">
      <alignment horizontal="center" vertical="center"/>
    </xf>
    <xf numFmtId="172" fontId="29" fillId="42" borderId="5" xfId="0" applyNumberFormat="1" applyFont="1" applyFill="1" applyBorder="1" applyAlignment="1">
      <alignment horizontal="center" vertical="center"/>
    </xf>
    <xf numFmtId="0" fontId="9" fillId="0" borderId="0" xfId="8">
      <alignment horizontal="right" indent="1"/>
    </xf>
    <xf numFmtId="0" fontId="9" fillId="0" borderId="5" xfId="8" applyBorder="1">
      <alignment horizontal="right" indent="1"/>
    </xf>
    <xf numFmtId="0" fontId="0" fillId="0" borderId="8" xfId="0" applyBorder="1"/>
    <xf numFmtId="170" fontId="9" fillId="0" borderId="3" xfId="9" applyNumberFormat="1" applyAlignment="1">
      <alignment horizontal="center" vertical="center" wrapText="1"/>
    </xf>
    <xf numFmtId="170" fontId="9" fillId="0" borderId="3" xfId="9" applyNumberFormat="1">
      <alignment horizontal="center" vertical="center"/>
    </xf>
    <xf numFmtId="0" fontId="11" fillId="42" borderId="16" xfId="0" applyFont="1" applyFill="1" applyBorder="1" applyAlignment="1">
      <alignment horizontal="center" vertical="center" shrinkToFit="1"/>
    </xf>
    <xf numFmtId="0" fontId="0" fillId="0" borderId="17" xfId="0" applyBorder="1" applyAlignment="1">
      <alignment vertical="center"/>
    </xf>
    <xf numFmtId="0" fontId="0" fillId="0" borderId="18" xfId="0" applyBorder="1" applyAlignment="1">
      <alignment vertical="center"/>
    </xf>
    <xf numFmtId="172" fontId="29" fillId="42" borderId="0" xfId="0" applyNumberFormat="1" applyFont="1" applyFill="1" applyBorder="1" applyAlignment="1">
      <alignment horizontal="center" vertical="center"/>
    </xf>
    <xf numFmtId="0" fontId="11" fillId="42" borderId="19" xfId="0" applyFont="1" applyFill="1" applyBorder="1" applyAlignment="1">
      <alignment horizontal="center" vertical="center" shrinkToFit="1"/>
    </xf>
    <xf numFmtId="0" fontId="0" fillId="0" borderId="20" xfId="0" applyBorder="1" applyAlignment="1">
      <alignment vertical="center"/>
    </xf>
    <xf numFmtId="172" fontId="29" fillId="42" borderId="24" xfId="0" applyNumberFormat="1" applyFont="1" applyFill="1" applyBorder="1" applyAlignment="1">
      <alignment horizontal="center" vertical="center"/>
    </xf>
    <xf numFmtId="172" fontId="29" fillId="42" borderId="25" xfId="0" applyNumberFormat="1" applyFont="1" applyFill="1" applyBorder="1" applyAlignment="1">
      <alignment horizontal="center" vertical="center"/>
    </xf>
    <xf numFmtId="0" fontId="11" fillId="42" borderId="26" xfId="0" applyFont="1" applyFill="1" applyBorder="1" applyAlignment="1">
      <alignment horizontal="center" vertical="center" shrinkToFit="1"/>
    </xf>
    <xf numFmtId="0" fontId="11" fillId="42" borderId="27" xfId="0" applyFont="1" applyFill="1" applyBorder="1" applyAlignment="1">
      <alignment horizontal="center" vertical="center" shrinkToFit="1"/>
    </xf>
    <xf numFmtId="0" fontId="0" fillId="0" borderId="28" xfId="0" applyBorder="1" applyAlignment="1">
      <alignment vertical="center"/>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33" xfId="0" applyBorder="1" applyAlignment="1">
      <alignment vertical="center"/>
    </xf>
    <xf numFmtId="0" fontId="0" fillId="0" borderId="34" xfId="0" applyBorder="1" applyAlignment="1">
      <alignment vertical="center"/>
    </xf>
    <xf numFmtId="0" fontId="0" fillId="2" borderId="20" xfId="0" applyFill="1" applyBorder="1" applyAlignment="1">
      <alignment vertical="center"/>
    </xf>
    <xf numFmtId="0" fontId="0" fillId="0" borderId="35" xfId="0" applyBorder="1" applyAlignment="1">
      <alignment vertical="center"/>
    </xf>
    <xf numFmtId="0" fontId="0" fillId="0" borderId="36" xfId="0" applyBorder="1" applyAlignment="1">
      <alignment vertical="center"/>
    </xf>
    <xf numFmtId="0" fontId="0" fillId="2" borderId="17" xfId="0" applyFill="1" applyBorder="1" applyAlignment="1">
      <alignment vertical="center"/>
    </xf>
    <xf numFmtId="172" fontId="29" fillId="42" borderId="37" xfId="0" applyNumberFormat="1" applyFont="1" applyFill="1" applyBorder="1" applyAlignment="1">
      <alignment horizontal="center" vertical="center"/>
    </xf>
    <xf numFmtId="0" fontId="11" fillId="42" borderId="38" xfId="0" applyFont="1" applyFill="1" applyBorder="1" applyAlignment="1">
      <alignment horizontal="center" vertical="center" shrinkToFit="1"/>
    </xf>
    <xf numFmtId="0" fontId="0" fillId="0" borderId="39" xfId="0" applyBorder="1" applyAlignment="1">
      <alignment vertical="center"/>
    </xf>
    <xf numFmtId="0" fontId="0" fillId="0" borderId="40" xfId="0" applyBorder="1" applyAlignment="1">
      <alignment vertical="center"/>
    </xf>
    <xf numFmtId="0" fontId="0" fillId="0" borderId="38" xfId="0" applyBorder="1" applyAlignment="1">
      <alignment vertical="center"/>
    </xf>
    <xf numFmtId="0" fontId="0" fillId="2" borderId="40" xfId="0" applyFill="1" applyBorder="1" applyAlignment="1">
      <alignment vertical="center"/>
    </xf>
    <xf numFmtId="0" fontId="30" fillId="42" borderId="21" xfId="0" applyFont="1" applyFill="1" applyBorder="1" applyAlignment="1">
      <alignment horizontal="center"/>
    </xf>
    <xf numFmtId="0" fontId="30" fillId="42" borderId="22" xfId="0" applyFont="1" applyFill="1" applyBorder="1" applyAlignment="1">
      <alignment horizontal="center"/>
    </xf>
    <xf numFmtId="0" fontId="30" fillId="42" borderId="23" xfId="0" applyFont="1" applyFill="1" applyBorder="1" applyAlignment="1">
      <alignment horizontal="center"/>
    </xf>
    <xf numFmtId="172" fontId="30" fillId="42" borderId="21" xfId="0" applyNumberFormat="1" applyFont="1" applyFill="1" applyBorder="1" applyAlignment="1">
      <alignment horizontal="center"/>
    </xf>
    <xf numFmtId="0" fontId="6" fillId="42" borderId="22" xfId="0" applyFont="1" applyFill="1" applyBorder="1" applyAlignment="1">
      <alignment horizontal="center"/>
    </xf>
    <xf numFmtId="0" fontId="6" fillId="42" borderId="23" xfId="0" applyFont="1" applyFill="1" applyBorder="1" applyAlignment="1">
      <alignment horizontal="center"/>
    </xf>
    <xf numFmtId="0" fontId="0" fillId="44" borderId="20" xfId="0" applyFill="1" applyBorder="1" applyAlignment="1">
      <alignment vertical="center"/>
    </xf>
    <xf numFmtId="0" fontId="0" fillId="44" borderId="2" xfId="0" applyFill="1" applyBorder="1" applyAlignment="1">
      <alignment vertical="center"/>
    </xf>
    <xf numFmtId="0" fontId="0" fillId="44" borderId="17" xfId="0" applyFill="1" applyBorder="1" applyAlignment="1">
      <alignment vertical="center"/>
    </xf>
  </cellXfs>
  <cellStyles count="55">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00000000-0005-0000-0000-00001F000000}"/>
    <cellStyle name="Hipervínculo" xfId="1" builtinId="8" customBuiltin="1"/>
    <cellStyle name="Hipervínculo visitado" xfId="13" builtinId="9" customBuiltin="1"/>
    <cellStyle name="Incorrecto" xfId="19" builtinId="27" customBuiltin="1"/>
    <cellStyle name="Inicio del proyecto" xfId="9" xr:uid="{00000000-0005-0000-0000-000023000000}"/>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00000000-0005-0000-0000-000029000000}"/>
    <cellStyle name="Normal" xfId="0" builtinId="0" customBuiltin="1"/>
    <cellStyle name="Normal 2 2 2" xfId="54" xr:uid="{951B45BF-94F6-492D-A7A8-2AA37DF577F4}"/>
    <cellStyle name="Notas" xfId="27" builtinId="10" customBuiltin="1"/>
    <cellStyle name="Porcentaje" xfId="2" builtinId="5" customBuiltin="1"/>
    <cellStyle name="Salida" xfId="22" builtinId="21" customBuiltin="1"/>
    <cellStyle name="Tarea" xfId="12" xr:uid="{00000000-0005-0000-0000-00002E000000}"/>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00000000-0005-0000-0000-000035000000}"/>
  </cellStyles>
  <dxfs count="36">
    <dxf>
      <fill>
        <patternFill>
          <bgColor rgb="FF00B0F0"/>
        </patternFill>
      </fill>
      <border>
        <left/>
        <right/>
      </border>
    </dxf>
    <dxf>
      <fill>
        <patternFill>
          <bgColor rgb="FF00B050"/>
        </patternFill>
      </fill>
    </dxf>
    <dxf>
      <border>
        <left style="thin">
          <color rgb="FFC00000"/>
        </left>
        <right style="thin">
          <color rgb="FFC00000"/>
        </right>
        <vertical/>
        <horizontal/>
      </border>
    </dxf>
    <dxf>
      <fill>
        <patternFill>
          <bgColor rgb="FF00B0F0"/>
        </patternFill>
      </fill>
      <border>
        <left/>
        <right/>
      </border>
    </dxf>
    <dxf>
      <fill>
        <patternFill>
          <bgColor rgb="FF00B050"/>
        </patternFill>
      </fill>
    </dxf>
    <dxf>
      <border>
        <left style="thin">
          <color rgb="FFC00000"/>
        </left>
        <right style="thin">
          <color rgb="FFC00000"/>
        </right>
        <vertical/>
        <horizontal/>
      </border>
    </dxf>
    <dxf>
      <fill>
        <patternFill>
          <bgColor rgb="FF00B0F0"/>
        </patternFill>
      </fill>
      <border>
        <left/>
        <right/>
      </border>
    </dxf>
    <dxf>
      <fill>
        <patternFill>
          <bgColor rgb="FF00B050"/>
        </patternFill>
      </fill>
    </dxf>
    <dxf>
      <border>
        <left style="thin">
          <color rgb="FFC00000"/>
        </left>
        <right style="thin">
          <color rgb="FFC00000"/>
        </right>
        <vertical/>
        <horizontal/>
      </border>
    </dxf>
    <dxf>
      <fill>
        <patternFill>
          <bgColor rgb="FF00B0F0"/>
        </patternFill>
      </fill>
      <border>
        <left/>
        <right/>
      </border>
    </dxf>
    <dxf>
      <fill>
        <patternFill>
          <bgColor rgb="FF00B050"/>
        </patternFill>
      </fill>
    </dxf>
    <dxf>
      <border>
        <left style="thin">
          <color rgb="FFC00000"/>
        </left>
        <right style="thin">
          <color rgb="FFC00000"/>
        </right>
        <vertical/>
        <horizontal/>
      </border>
    </dxf>
    <dxf>
      <fill>
        <patternFill>
          <bgColor rgb="FF00B0F0"/>
        </patternFill>
      </fill>
      <border>
        <left/>
        <right/>
      </border>
    </dxf>
    <dxf>
      <fill>
        <patternFill>
          <bgColor rgb="FF00B050"/>
        </patternFill>
      </fill>
    </dxf>
    <dxf>
      <border>
        <left style="thin">
          <color rgb="FFC00000"/>
        </left>
        <right style="thin">
          <color rgb="FFC00000"/>
        </right>
        <vertical/>
        <horizontal/>
      </border>
    </dxf>
    <dxf>
      <fill>
        <patternFill>
          <bgColor rgb="FF00B0F0"/>
        </patternFill>
      </fill>
      <border>
        <left/>
        <right/>
      </border>
    </dxf>
    <dxf>
      <fill>
        <patternFill>
          <bgColor rgb="FF00B050"/>
        </patternFill>
      </fill>
    </dxf>
    <dxf>
      <border>
        <left style="thin">
          <color rgb="FFC00000"/>
        </left>
        <right style="thin">
          <color rgb="FFC00000"/>
        </right>
        <vertical/>
        <horizontal/>
      </border>
    </dxf>
    <dxf>
      <fill>
        <patternFill>
          <bgColor rgb="FF00B0F0"/>
        </patternFill>
      </fill>
      <border>
        <left/>
        <right/>
      </border>
    </dxf>
    <dxf>
      <fill>
        <patternFill>
          <bgColor rgb="FF00B050"/>
        </patternFill>
      </fill>
    </dxf>
    <dxf>
      <border>
        <left style="thin">
          <color rgb="FFC00000"/>
        </left>
        <right style="thin">
          <color rgb="FFC00000"/>
        </right>
        <vertical/>
        <horizontal/>
      </border>
    </dxf>
    <dxf>
      <fill>
        <patternFill>
          <bgColor rgb="FF00B0F0"/>
        </patternFill>
      </fill>
      <border>
        <left/>
        <right/>
      </border>
    </dxf>
    <dxf>
      <fill>
        <patternFill>
          <bgColor rgb="FF00B050"/>
        </patternFill>
      </fill>
    </dxf>
    <dxf>
      <border>
        <left style="thin">
          <color rgb="FFC00000"/>
        </left>
        <right style="thin">
          <color rgb="FFC00000"/>
        </right>
        <vertical/>
        <horizontal/>
      </border>
    </dxf>
    <dxf>
      <fill>
        <patternFill>
          <bgColor rgb="FF00B0F0"/>
        </patternFill>
      </fill>
      <border>
        <left/>
        <right/>
      </border>
    </dxf>
    <dxf>
      <fill>
        <patternFill>
          <bgColor rgb="FF00B050"/>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35"/>
      <tableStyleElement type="headerRow" dxfId="34"/>
      <tableStyleElement type="totalRow" dxfId="33"/>
      <tableStyleElement type="firstColumn" dxfId="32"/>
      <tableStyleElement type="lastColumn" dxfId="31"/>
      <tableStyleElement type="firstRowStripe" dxfId="30"/>
      <tableStyleElement type="secondRowStripe" dxfId="29"/>
      <tableStyleElement type="firstColumnStripe" dxfId="28"/>
      <tableStyleElement type="secondColumnStripe" dxfId="2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iempreexcel.com/plantillas-de-excel/"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1</xdr:row>
      <xdr:rowOff>676275</xdr:rowOff>
    </xdr:from>
    <xdr:to>
      <xdr:col>1</xdr:col>
      <xdr:colOff>2899293</xdr:colOff>
      <xdr:row>1</xdr:row>
      <xdr:rowOff>1066800</xdr:rowOff>
    </xdr:to>
    <xdr:pic>
      <xdr:nvPicPr>
        <xdr:cNvPr id="2" name="Imagen 1">
          <a:hlinkClick xmlns:r="http://schemas.openxmlformats.org/officeDocument/2006/relationships" r:id="rId1"/>
          <a:extLst>
            <a:ext uri="{FF2B5EF4-FFF2-40B4-BE49-F238E27FC236}">
              <a16:creationId xmlns:a16="http://schemas.microsoft.com/office/drawing/2014/main" id="{6FCA8BBF-0C9B-461F-9BF3-0E85602F963B}"/>
            </a:ext>
          </a:extLst>
        </xdr:cNvPr>
        <xdr:cNvPicPr>
          <a:picLocks noChangeAspect="1"/>
        </xdr:cNvPicPr>
      </xdr:nvPicPr>
      <xdr:blipFill>
        <a:blip xmlns:r="http://schemas.openxmlformats.org/officeDocument/2006/relationships" r:embed="rId2"/>
        <a:stretch>
          <a:fillRect/>
        </a:stretch>
      </xdr:blipFill>
      <xdr:spPr>
        <a:xfrm>
          <a:off x="76200" y="923925"/>
          <a:ext cx="3042168" cy="3905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imagenes\plantillas\Libro-diario-exce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neudy/Pictures/plantillas/Hoja%20de%20balance.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ARIO"/>
      <sheetName val="MAYOR"/>
      <sheetName val="BALANCE"/>
      <sheetName val="RESULTADO"/>
    </sheetNames>
    <sheetDataSet>
      <sheetData sheetId="0">
        <row r="12">
          <cell r="C12" t="str">
            <v>1.1.1.01</v>
          </cell>
          <cell r="F12">
            <v>5000</v>
          </cell>
        </row>
        <row r="13">
          <cell r="C13" t="str">
            <v>4.1.1.01</v>
          </cell>
          <cell r="G13">
            <v>5000</v>
          </cell>
        </row>
        <row r="14">
          <cell r="C14" t="str">
            <v>5.1.1.1</v>
          </cell>
          <cell r="F14">
            <v>4000</v>
          </cell>
        </row>
        <row r="15">
          <cell r="C15" t="str">
            <v>1.1.4.01</v>
          </cell>
          <cell r="G15">
            <v>4000</v>
          </cell>
        </row>
      </sheetData>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DESCARGA DE RESPONSABILIDAD"/>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P32"/>
  <sheetViews>
    <sheetView showGridLines="0" tabSelected="1" showRuler="0" topLeftCell="M1" zoomScale="50" zoomScaleNormal="50" zoomScalePageLayoutView="70" workbookViewId="0">
      <pane ySplit="6" topLeftCell="A11" activePane="bottomLeft" state="frozen"/>
      <selection pane="bottomLeft" activeCell="D10" sqref="D10"/>
    </sheetView>
  </sheetViews>
  <sheetFormatPr baseColWidth="10" defaultColWidth="9.1796875" defaultRowHeight="30" customHeight="1" x14ac:dyDescent="0.35"/>
  <cols>
    <col min="1" max="1" width="2.7265625" style="31" customWidth="1"/>
    <col min="2" max="2" width="53.36328125" customWidth="1"/>
    <col min="3" max="3" width="30.7265625" customWidth="1"/>
    <col min="4" max="4" width="10.7265625" customWidth="1"/>
    <col min="5" max="5" width="10.453125" style="5" customWidth="1"/>
    <col min="6" max="6" width="10.453125" customWidth="1"/>
    <col min="7" max="7" width="2.7265625" customWidth="1"/>
    <col min="8" max="8" width="6.1796875" hidden="1" customWidth="1"/>
    <col min="9" max="65" width="2.54296875" customWidth="1"/>
    <col min="66" max="66" width="2.36328125" customWidth="1"/>
    <col min="67" max="67" width="2.08984375" customWidth="1"/>
    <col min="68" max="68" width="1.6328125" customWidth="1"/>
    <col min="69" max="69" width="2.08984375" customWidth="1"/>
    <col min="70" max="70" width="1.81640625" customWidth="1"/>
    <col min="71" max="120" width="2.54296875" customWidth="1"/>
  </cols>
  <sheetData>
    <row r="1" spans="1:120" ht="30" customHeight="1" x14ac:dyDescent="0.65">
      <c r="A1" s="32" t="s">
        <v>0</v>
      </c>
      <c r="B1" s="36" t="s">
        <v>14</v>
      </c>
      <c r="C1" s="1"/>
      <c r="D1" s="2"/>
      <c r="E1" s="4"/>
      <c r="F1" s="30"/>
      <c r="H1" s="2"/>
      <c r="I1" s="68" t="s">
        <v>27</v>
      </c>
    </row>
    <row r="2" spans="1:120" ht="30" customHeight="1" x14ac:dyDescent="0.45">
      <c r="A2" s="31" t="s">
        <v>1</v>
      </c>
      <c r="B2" s="37" t="s">
        <v>15</v>
      </c>
      <c r="I2" s="34"/>
    </row>
    <row r="3" spans="1:120" ht="30" customHeight="1" x14ac:dyDescent="0.35">
      <c r="A3" s="31" t="s">
        <v>2</v>
      </c>
      <c r="B3" s="38" t="s">
        <v>16</v>
      </c>
      <c r="C3" s="76" t="s">
        <v>19</v>
      </c>
      <c r="D3" s="77"/>
      <c r="E3" s="79">
        <f>DATE(2025,9,25)</f>
        <v>45925</v>
      </c>
      <c r="F3" s="80"/>
    </row>
    <row r="4" spans="1:120" ht="30" customHeight="1" x14ac:dyDescent="0.5">
      <c r="A4" s="32" t="s">
        <v>3</v>
      </c>
      <c r="C4" s="76" t="s">
        <v>20</v>
      </c>
      <c r="D4" s="77"/>
      <c r="E4" s="7">
        <v>1</v>
      </c>
      <c r="I4" s="111" t="s">
        <v>48</v>
      </c>
      <c r="J4" s="112"/>
      <c r="K4" s="112"/>
      <c r="L4" s="112"/>
      <c r="M4" s="112"/>
      <c r="N4" s="112"/>
      <c r="O4" s="112"/>
      <c r="P4" s="112"/>
      <c r="Q4" s="113"/>
      <c r="R4" s="108" t="s">
        <v>49</v>
      </c>
      <c r="S4" s="109"/>
      <c r="T4" s="109"/>
      <c r="U4" s="109"/>
      <c r="V4" s="109"/>
      <c r="W4" s="109"/>
      <c r="X4" s="109"/>
      <c r="Y4" s="109"/>
      <c r="Z4" s="109"/>
      <c r="AA4" s="109"/>
      <c r="AB4" s="109"/>
      <c r="AC4" s="109"/>
      <c r="AD4" s="109"/>
      <c r="AE4" s="109"/>
      <c r="AF4" s="109"/>
      <c r="AG4" s="109"/>
      <c r="AH4" s="109"/>
      <c r="AI4" s="109"/>
      <c r="AJ4" s="109"/>
      <c r="AK4" s="109"/>
      <c r="AL4" s="109"/>
      <c r="AM4" s="109"/>
      <c r="AN4" s="109"/>
      <c r="AO4" s="109"/>
      <c r="AP4" s="109"/>
      <c r="AQ4" s="109"/>
      <c r="AR4" s="109"/>
      <c r="AS4" s="109"/>
      <c r="AT4" s="109"/>
      <c r="AU4" s="109"/>
      <c r="AV4" s="110"/>
      <c r="AW4" s="108" t="s">
        <v>50</v>
      </c>
      <c r="AX4" s="109"/>
      <c r="AY4" s="109"/>
      <c r="AZ4" s="109"/>
      <c r="BA4" s="109"/>
      <c r="BB4" s="109"/>
      <c r="BC4" s="109"/>
      <c r="BD4" s="109"/>
      <c r="BE4" s="109"/>
      <c r="BF4" s="109"/>
      <c r="BG4" s="109"/>
      <c r="BH4" s="109"/>
      <c r="BI4" s="109"/>
      <c r="BJ4" s="109"/>
      <c r="BK4" s="109"/>
      <c r="BL4" s="109"/>
      <c r="BM4" s="109"/>
      <c r="BN4" s="109"/>
      <c r="BO4" s="109"/>
      <c r="BP4" s="109"/>
      <c r="BQ4" s="109"/>
      <c r="BR4" s="109"/>
      <c r="BS4" s="109"/>
      <c r="BT4" s="109"/>
      <c r="BU4" s="109"/>
      <c r="BV4" s="109"/>
      <c r="BW4" s="109"/>
      <c r="BX4" s="109"/>
      <c r="BY4" s="109"/>
      <c r="BZ4" s="110"/>
      <c r="CA4" s="108" t="s">
        <v>51</v>
      </c>
      <c r="CB4" s="109"/>
      <c r="CC4" s="109"/>
      <c r="CD4" s="109"/>
      <c r="CE4" s="109"/>
      <c r="CF4" s="109"/>
      <c r="CG4" s="109"/>
      <c r="CH4" s="109"/>
      <c r="CI4" s="109"/>
      <c r="CJ4" s="109"/>
      <c r="CK4" s="109"/>
      <c r="CL4" s="109"/>
      <c r="CM4" s="109"/>
      <c r="CN4" s="109"/>
      <c r="CO4" s="109"/>
      <c r="CP4" s="109"/>
      <c r="CQ4" s="109"/>
      <c r="CR4" s="109"/>
      <c r="CS4" s="109"/>
      <c r="CT4" s="109"/>
      <c r="CU4" s="109"/>
      <c r="CV4" s="109"/>
      <c r="CW4" s="109"/>
      <c r="CX4" s="109"/>
      <c r="CY4" s="109"/>
      <c r="CZ4" s="109"/>
      <c r="DA4" s="109"/>
      <c r="DB4" s="109"/>
      <c r="DC4" s="109"/>
      <c r="DD4" s="109"/>
      <c r="DE4" s="110"/>
      <c r="DF4" s="108" t="s">
        <v>52</v>
      </c>
      <c r="DG4" s="109"/>
      <c r="DH4" s="109"/>
      <c r="DI4" s="109"/>
      <c r="DJ4" s="109"/>
      <c r="DK4" s="109"/>
      <c r="DL4" s="109"/>
      <c r="DM4" s="109"/>
      <c r="DN4" s="109"/>
      <c r="DO4" s="109"/>
      <c r="DP4" s="110"/>
    </row>
    <row r="5" spans="1:120" ht="15" customHeight="1" x14ac:dyDescent="0.35">
      <c r="A5" s="32" t="s">
        <v>4</v>
      </c>
      <c r="B5" s="78"/>
      <c r="C5" s="78"/>
      <c r="D5" s="78"/>
      <c r="E5" s="78"/>
      <c r="F5" s="78"/>
      <c r="G5" s="78"/>
      <c r="I5" s="87">
        <f>InicioDelProyecto-WEEKDAY(InicioDelProyecto,1)+2+7*(SemanaParaMostrar-1)</f>
        <v>45922</v>
      </c>
      <c r="J5" s="84">
        <f>I5+1</f>
        <v>45923</v>
      </c>
      <c r="K5" s="84">
        <f t="shared" ref="K5:AX5" si="0">J5+1</f>
        <v>45924</v>
      </c>
      <c r="L5" s="84">
        <f t="shared" si="0"/>
        <v>45925</v>
      </c>
      <c r="M5" s="84">
        <f t="shared" si="0"/>
        <v>45926</v>
      </c>
      <c r="N5" s="84">
        <f t="shared" si="0"/>
        <v>45927</v>
      </c>
      <c r="O5" s="75">
        <f t="shared" si="0"/>
        <v>45928</v>
      </c>
      <c r="P5" s="74">
        <f>O5+1</f>
        <v>45929</v>
      </c>
      <c r="Q5" s="88">
        <f>P5+1</f>
        <v>45930</v>
      </c>
      <c r="R5" s="87">
        <f>Q5+1</f>
        <v>45931</v>
      </c>
      <c r="S5" s="84">
        <f t="shared" si="0"/>
        <v>45932</v>
      </c>
      <c r="T5" s="84">
        <f t="shared" si="0"/>
        <v>45933</v>
      </c>
      <c r="U5" s="84">
        <f t="shared" si="0"/>
        <v>45934</v>
      </c>
      <c r="V5" s="75">
        <f t="shared" si="0"/>
        <v>45935</v>
      </c>
      <c r="W5" s="74">
        <f>V5+1</f>
        <v>45936</v>
      </c>
      <c r="X5" s="84">
        <f>W5+1</f>
        <v>45937</v>
      </c>
      <c r="Y5" s="84">
        <f t="shared" si="0"/>
        <v>45938</v>
      </c>
      <c r="Z5" s="84">
        <f t="shared" si="0"/>
        <v>45939</v>
      </c>
      <c r="AA5" s="84">
        <f t="shared" si="0"/>
        <v>45940</v>
      </c>
      <c r="AB5" s="84">
        <f t="shared" si="0"/>
        <v>45941</v>
      </c>
      <c r="AC5" s="75">
        <f t="shared" si="0"/>
        <v>45942</v>
      </c>
      <c r="AD5" s="74">
        <f>AC5+1</f>
        <v>45943</v>
      </c>
      <c r="AE5" s="84">
        <f>AD5+1</f>
        <v>45944</v>
      </c>
      <c r="AF5" s="84">
        <f t="shared" si="0"/>
        <v>45945</v>
      </c>
      <c r="AG5" s="84">
        <f t="shared" si="0"/>
        <v>45946</v>
      </c>
      <c r="AH5" s="84">
        <f t="shared" si="0"/>
        <v>45947</v>
      </c>
      <c r="AI5" s="84">
        <f t="shared" si="0"/>
        <v>45948</v>
      </c>
      <c r="AJ5" s="75">
        <f t="shared" si="0"/>
        <v>45949</v>
      </c>
      <c r="AK5" s="74">
        <f>AJ5+1</f>
        <v>45950</v>
      </c>
      <c r="AL5" s="84">
        <f>AK5+1</f>
        <v>45951</v>
      </c>
      <c r="AM5" s="84">
        <f t="shared" si="0"/>
        <v>45952</v>
      </c>
      <c r="AN5" s="84">
        <f t="shared" si="0"/>
        <v>45953</v>
      </c>
      <c r="AO5" s="84">
        <f t="shared" si="0"/>
        <v>45954</v>
      </c>
      <c r="AP5" s="84">
        <f t="shared" si="0"/>
        <v>45955</v>
      </c>
      <c r="AQ5" s="75">
        <f t="shared" si="0"/>
        <v>45956</v>
      </c>
      <c r="AR5" s="74">
        <f>AQ5+1</f>
        <v>45957</v>
      </c>
      <c r="AS5" s="84">
        <f>AR5+1</f>
        <v>45958</v>
      </c>
      <c r="AT5" s="84">
        <f t="shared" si="0"/>
        <v>45959</v>
      </c>
      <c r="AU5" s="84">
        <f t="shared" si="0"/>
        <v>45960</v>
      </c>
      <c r="AV5" s="88">
        <f t="shared" si="0"/>
        <v>45961</v>
      </c>
      <c r="AW5" s="87">
        <f t="shared" si="0"/>
        <v>45962</v>
      </c>
      <c r="AX5" s="75">
        <f t="shared" si="0"/>
        <v>45963</v>
      </c>
      <c r="AY5" s="74">
        <f>AX5+1</f>
        <v>45964</v>
      </c>
      <c r="AZ5" s="84">
        <f>AY5+1</f>
        <v>45965</v>
      </c>
      <c r="BA5" s="84">
        <f t="shared" ref="BA5:BE5" si="1">AZ5+1</f>
        <v>45966</v>
      </c>
      <c r="BB5" s="84">
        <f t="shared" si="1"/>
        <v>45967</v>
      </c>
      <c r="BC5" s="84">
        <f t="shared" si="1"/>
        <v>45968</v>
      </c>
      <c r="BD5" s="84">
        <f t="shared" si="1"/>
        <v>45969</v>
      </c>
      <c r="BE5" s="75">
        <f t="shared" si="1"/>
        <v>45970</v>
      </c>
      <c r="BF5" s="74">
        <f>BE5+1</f>
        <v>45971</v>
      </c>
      <c r="BG5" s="102">
        <f>BF5+1</f>
        <v>45972</v>
      </c>
      <c r="BH5" s="84">
        <f t="shared" ref="BH5:BL5" si="2">BG5+1</f>
        <v>45973</v>
      </c>
      <c r="BI5" s="84">
        <f t="shared" si="2"/>
        <v>45974</v>
      </c>
      <c r="BJ5" s="84">
        <f t="shared" si="2"/>
        <v>45975</v>
      </c>
      <c r="BK5" s="84">
        <f t="shared" si="2"/>
        <v>45976</v>
      </c>
      <c r="BL5" s="75">
        <f t="shared" si="2"/>
        <v>45977</v>
      </c>
      <c r="BM5" s="74">
        <f>BL5+1</f>
        <v>45978</v>
      </c>
      <c r="BN5" s="84">
        <f>BM5+1</f>
        <v>45979</v>
      </c>
      <c r="BO5" s="84">
        <f t="shared" ref="BO5" si="3">BN5+1</f>
        <v>45980</v>
      </c>
      <c r="BP5" s="84">
        <f t="shared" ref="BP5" si="4">BO5+1</f>
        <v>45981</v>
      </c>
      <c r="BQ5" s="84">
        <f t="shared" ref="BQ5" si="5">BP5+1</f>
        <v>45982</v>
      </c>
      <c r="BR5" s="84">
        <f t="shared" ref="BR5" si="6">BQ5+1</f>
        <v>45983</v>
      </c>
      <c r="BS5" s="75">
        <f t="shared" ref="BS5" si="7">BR5+1</f>
        <v>45984</v>
      </c>
      <c r="BT5" s="74">
        <f>BS5+1</f>
        <v>45985</v>
      </c>
      <c r="BU5" s="84">
        <f>BT5+1</f>
        <v>45986</v>
      </c>
      <c r="BV5" s="84">
        <f t="shared" ref="BV5" si="8">BU5+1</f>
        <v>45987</v>
      </c>
      <c r="BW5" s="84">
        <f t="shared" ref="BW5" si="9">BV5+1</f>
        <v>45988</v>
      </c>
      <c r="BX5" s="84">
        <f t="shared" ref="BX5" si="10">BW5+1</f>
        <v>45989</v>
      </c>
      <c r="BY5" s="84">
        <f t="shared" ref="BY5" si="11">BX5+1</f>
        <v>45990</v>
      </c>
      <c r="BZ5" s="88">
        <f t="shared" ref="BZ5" si="12">BY5+1</f>
        <v>45991</v>
      </c>
      <c r="CA5" s="87">
        <f>BZ5+1</f>
        <v>45992</v>
      </c>
      <c r="CB5" s="84">
        <f>CA5+1</f>
        <v>45993</v>
      </c>
      <c r="CC5" s="84">
        <f t="shared" ref="CC5" si="13">CB5+1</f>
        <v>45994</v>
      </c>
      <c r="CD5" s="84">
        <f t="shared" ref="CD5" si="14">CC5+1</f>
        <v>45995</v>
      </c>
      <c r="CE5" s="84">
        <f t="shared" ref="CE5" si="15">CD5+1</f>
        <v>45996</v>
      </c>
      <c r="CF5" s="84">
        <f t="shared" ref="CF5" si="16">CE5+1</f>
        <v>45997</v>
      </c>
      <c r="CG5" s="75">
        <f t="shared" ref="CG5" si="17">CF5+1</f>
        <v>45998</v>
      </c>
      <c r="CH5" s="74">
        <f>CG5+1</f>
        <v>45999</v>
      </c>
      <c r="CI5" s="84">
        <f>CH5+1</f>
        <v>46000</v>
      </c>
      <c r="CJ5" s="84">
        <f t="shared" ref="CJ5" si="18">CI5+1</f>
        <v>46001</v>
      </c>
      <c r="CK5" s="84">
        <f t="shared" ref="CK5" si="19">CJ5+1</f>
        <v>46002</v>
      </c>
      <c r="CL5" s="84">
        <f t="shared" ref="CL5" si="20">CK5+1</f>
        <v>46003</v>
      </c>
      <c r="CM5" s="84">
        <f t="shared" ref="CM5" si="21">CL5+1</f>
        <v>46004</v>
      </c>
      <c r="CN5" s="75">
        <f t="shared" ref="CN5" si="22">CM5+1</f>
        <v>46005</v>
      </c>
      <c r="CO5" s="74">
        <f>CN5+1</f>
        <v>46006</v>
      </c>
      <c r="CP5" s="84">
        <f>CO5+1</f>
        <v>46007</v>
      </c>
      <c r="CQ5" s="84">
        <f t="shared" ref="CQ5" si="23">CP5+1</f>
        <v>46008</v>
      </c>
      <c r="CR5" s="84">
        <f t="shared" ref="CR5" si="24">CQ5+1</f>
        <v>46009</v>
      </c>
      <c r="CS5" s="84">
        <f t="shared" ref="CS5" si="25">CR5+1</f>
        <v>46010</v>
      </c>
      <c r="CT5" s="84">
        <f t="shared" ref="CT5" si="26">CS5+1</f>
        <v>46011</v>
      </c>
      <c r="CU5" s="75">
        <f t="shared" ref="CU5" si="27">CT5+1</f>
        <v>46012</v>
      </c>
      <c r="CV5" s="74">
        <f>CU5+1</f>
        <v>46013</v>
      </c>
      <c r="CW5" s="84">
        <f>CV5+1</f>
        <v>46014</v>
      </c>
      <c r="CX5" s="84">
        <f t="shared" ref="CX5" si="28">CW5+1</f>
        <v>46015</v>
      </c>
      <c r="CY5" s="84">
        <f t="shared" ref="CY5" si="29">CX5+1</f>
        <v>46016</v>
      </c>
      <c r="CZ5" s="84">
        <f t="shared" ref="CZ5" si="30">CY5+1</f>
        <v>46017</v>
      </c>
      <c r="DA5" s="84">
        <f t="shared" ref="DA5" si="31">CZ5+1</f>
        <v>46018</v>
      </c>
      <c r="DB5" s="75">
        <f t="shared" ref="DB5" si="32">DA5+1</f>
        <v>46019</v>
      </c>
      <c r="DC5" s="74">
        <f>DB5+1</f>
        <v>46020</v>
      </c>
      <c r="DD5" s="84">
        <f>DC5+1</f>
        <v>46021</v>
      </c>
      <c r="DE5" s="88">
        <f t="shared" ref="DE5" si="33">DD5+1</f>
        <v>46022</v>
      </c>
      <c r="DF5" s="87">
        <f t="shared" ref="DF5" si="34">DE5+1</f>
        <v>46023</v>
      </c>
      <c r="DG5" s="84">
        <f t="shared" ref="DG5" si="35">DF5+1</f>
        <v>46024</v>
      </c>
      <c r="DH5" s="84">
        <f t="shared" ref="DH5" si="36">DG5+1</f>
        <v>46025</v>
      </c>
      <c r="DI5" s="75">
        <f t="shared" ref="DI5" si="37">DH5+1</f>
        <v>46026</v>
      </c>
      <c r="DJ5" s="74">
        <f>DI5+1</f>
        <v>46027</v>
      </c>
      <c r="DK5" s="84">
        <f>DJ5+1</f>
        <v>46028</v>
      </c>
      <c r="DL5" s="84">
        <f t="shared" ref="DL5" si="38">DK5+1</f>
        <v>46029</v>
      </c>
      <c r="DM5" s="84">
        <f t="shared" ref="DM5" si="39">DL5+1</f>
        <v>46030</v>
      </c>
      <c r="DN5" s="84">
        <f t="shared" ref="DN5" si="40">DM5+1</f>
        <v>46031</v>
      </c>
      <c r="DO5" s="84">
        <f t="shared" ref="DO5" si="41">DN5+1</f>
        <v>46032</v>
      </c>
      <c r="DP5" s="88">
        <f t="shared" ref="DP5" si="42">DO5+1</f>
        <v>46033</v>
      </c>
    </row>
    <row r="6" spans="1:120" ht="30" customHeight="1" thickBot="1" x14ac:dyDescent="0.4">
      <c r="A6" s="32" t="s">
        <v>5</v>
      </c>
      <c r="B6" s="71" t="s">
        <v>17</v>
      </c>
      <c r="C6" s="72" t="s">
        <v>21</v>
      </c>
      <c r="D6" s="72" t="s">
        <v>23</v>
      </c>
      <c r="E6" s="72" t="s">
        <v>24</v>
      </c>
      <c r="F6" s="72" t="s">
        <v>25</v>
      </c>
      <c r="G6" s="72"/>
      <c r="H6" s="72" t="s">
        <v>26</v>
      </c>
      <c r="I6" s="89" t="str">
        <f t="shared" ref="I6" si="43">LEFT(TEXT(I5,"ddd"),1)</f>
        <v>l</v>
      </c>
      <c r="J6" s="73" t="str">
        <f t="shared" ref="J6:AR6" si="44">LEFT(TEXT(J5,"ddd"),1)</f>
        <v>m</v>
      </c>
      <c r="K6" s="73" t="str">
        <f t="shared" si="44"/>
        <v>m</v>
      </c>
      <c r="L6" s="73" t="str">
        <f t="shared" si="44"/>
        <v>j</v>
      </c>
      <c r="M6" s="73" t="str">
        <f t="shared" si="44"/>
        <v>v</v>
      </c>
      <c r="N6" s="73" t="str">
        <f t="shared" si="44"/>
        <v>s</v>
      </c>
      <c r="O6" s="73" t="str">
        <f t="shared" si="44"/>
        <v>d</v>
      </c>
      <c r="P6" s="73" t="str">
        <f t="shared" si="44"/>
        <v>l</v>
      </c>
      <c r="Q6" s="90" t="str">
        <f t="shared" si="44"/>
        <v>m</v>
      </c>
      <c r="R6" s="89" t="str">
        <f t="shared" si="44"/>
        <v>m</v>
      </c>
      <c r="S6" s="73" t="str">
        <f t="shared" si="44"/>
        <v>j</v>
      </c>
      <c r="T6" s="73" t="str">
        <f t="shared" si="44"/>
        <v>v</v>
      </c>
      <c r="U6" s="73" t="str">
        <f t="shared" si="44"/>
        <v>s</v>
      </c>
      <c r="V6" s="73" t="str">
        <f t="shared" si="44"/>
        <v>d</v>
      </c>
      <c r="W6" s="73" t="str">
        <f t="shared" si="44"/>
        <v>l</v>
      </c>
      <c r="X6" s="73" t="str">
        <f t="shared" si="44"/>
        <v>m</v>
      </c>
      <c r="Y6" s="73" t="str">
        <f t="shared" si="44"/>
        <v>m</v>
      </c>
      <c r="Z6" s="73" t="str">
        <f t="shared" si="44"/>
        <v>j</v>
      </c>
      <c r="AA6" s="73" t="str">
        <f t="shared" si="44"/>
        <v>v</v>
      </c>
      <c r="AB6" s="73" t="str">
        <f t="shared" si="44"/>
        <v>s</v>
      </c>
      <c r="AC6" s="73" t="str">
        <f t="shared" si="44"/>
        <v>d</v>
      </c>
      <c r="AD6" s="73" t="str">
        <f t="shared" si="44"/>
        <v>l</v>
      </c>
      <c r="AE6" s="73" t="str">
        <f t="shared" si="44"/>
        <v>m</v>
      </c>
      <c r="AF6" s="73" t="str">
        <f t="shared" si="44"/>
        <v>m</v>
      </c>
      <c r="AG6" s="73" t="str">
        <f t="shared" si="44"/>
        <v>j</v>
      </c>
      <c r="AH6" s="73" t="str">
        <f t="shared" si="44"/>
        <v>v</v>
      </c>
      <c r="AI6" s="73" t="str">
        <f t="shared" si="44"/>
        <v>s</v>
      </c>
      <c r="AJ6" s="73" t="str">
        <f t="shared" si="44"/>
        <v>d</v>
      </c>
      <c r="AK6" s="73" t="str">
        <f t="shared" si="44"/>
        <v>l</v>
      </c>
      <c r="AL6" s="73" t="str">
        <f t="shared" si="44"/>
        <v>m</v>
      </c>
      <c r="AM6" s="73" t="str">
        <f t="shared" si="44"/>
        <v>m</v>
      </c>
      <c r="AN6" s="73" t="str">
        <f t="shared" si="44"/>
        <v>j</v>
      </c>
      <c r="AO6" s="73" t="str">
        <f t="shared" si="44"/>
        <v>v</v>
      </c>
      <c r="AP6" s="73" t="str">
        <f t="shared" si="44"/>
        <v>s</v>
      </c>
      <c r="AQ6" s="73" t="str">
        <f t="shared" si="44"/>
        <v>d</v>
      </c>
      <c r="AR6" s="73" t="str">
        <f t="shared" si="44"/>
        <v>l</v>
      </c>
      <c r="AS6" s="73" t="str">
        <f t="shared" ref="AS6:BL6" si="45">LEFT(TEXT(AS5,"ddd"),1)</f>
        <v>m</v>
      </c>
      <c r="AT6" s="73" t="str">
        <f t="shared" si="45"/>
        <v>m</v>
      </c>
      <c r="AU6" s="73" t="str">
        <f t="shared" si="45"/>
        <v>j</v>
      </c>
      <c r="AV6" s="90" t="str">
        <f t="shared" si="45"/>
        <v>v</v>
      </c>
      <c r="AW6" s="89" t="str">
        <f t="shared" si="45"/>
        <v>s</v>
      </c>
      <c r="AX6" s="73" t="str">
        <f t="shared" si="45"/>
        <v>d</v>
      </c>
      <c r="AY6" s="73" t="str">
        <f t="shared" si="45"/>
        <v>l</v>
      </c>
      <c r="AZ6" s="73" t="str">
        <f t="shared" si="45"/>
        <v>m</v>
      </c>
      <c r="BA6" s="73" t="str">
        <f t="shared" si="45"/>
        <v>m</v>
      </c>
      <c r="BB6" s="73" t="str">
        <f t="shared" si="45"/>
        <v>j</v>
      </c>
      <c r="BC6" s="73" t="str">
        <f t="shared" si="45"/>
        <v>v</v>
      </c>
      <c r="BD6" s="73" t="str">
        <f t="shared" si="45"/>
        <v>s</v>
      </c>
      <c r="BE6" s="73" t="str">
        <f t="shared" si="45"/>
        <v>d</v>
      </c>
      <c r="BF6" s="85" t="str">
        <f t="shared" si="45"/>
        <v>l</v>
      </c>
      <c r="BG6" s="103" t="str">
        <f t="shared" si="45"/>
        <v>m</v>
      </c>
      <c r="BH6" s="81" t="str">
        <f t="shared" si="45"/>
        <v>m</v>
      </c>
      <c r="BI6" s="73" t="str">
        <f t="shared" si="45"/>
        <v>j</v>
      </c>
      <c r="BJ6" s="73" t="str">
        <f t="shared" si="45"/>
        <v>v</v>
      </c>
      <c r="BK6" s="73" t="str">
        <f t="shared" si="45"/>
        <v>s</v>
      </c>
      <c r="BL6" s="73" t="str">
        <f t="shared" si="45"/>
        <v>d</v>
      </c>
      <c r="BM6" s="73" t="str">
        <f t="shared" ref="BM6:DP6" si="46">LEFT(TEXT(BM5,"ddd"),1)</f>
        <v>l</v>
      </c>
      <c r="BN6" s="73" t="str">
        <f t="shared" si="46"/>
        <v>m</v>
      </c>
      <c r="BO6" s="73" t="str">
        <f t="shared" si="46"/>
        <v>m</v>
      </c>
      <c r="BP6" s="73" t="str">
        <f t="shared" si="46"/>
        <v>j</v>
      </c>
      <c r="BQ6" s="73" t="str">
        <f t="shared" si="46"/>
        <v>v</v>
      </c>
      <c r="BR6" s="73" t="str">
        <f t="shared" si="46"/>
        <v>s</v>
      </c>
      <c r="BS6" s="73" t="str">
        <f t="shared" si="46"/>
        <v>d</v>
      </c>
      <c r="BT6" s="73" t="str">
        <f t="shared" si="46"/>
        <v>l</v>
      </c>
      <c r="BU6" s="73" t="str">
        <f t="shared" si="46"/>
        <v>m</v>
      </c>
      <c r="BV6" s="73" t="str">
        <f t="shared" si="46"/>
        <v>m</v>
      </c>
      <c r="BW6" s="73" t="str">
        <f t="shared" si="46"/>
        <v>j</v>
      </c>
      <c r="BX6" s="73" t="str">
        <f t="shared" si="46"/>
        <v>v</v>
      </c>
      <c r="BY6" s="73" t="str">
        <f t="shared" si="46"/>
        <v>s</v>
      </c>
      <c r="BZ6" s="90" t="str">
        <f t="shared" si="46"/>
        <v>d</v>
      </c>
      <c r="CA6" s="89" t="str">
        <f t="shared" si="46"/>
        <v>l</v>
      </c>
      <c r="CB6" s="73" t="str">
        <f t="shared" si="46"/>
        <v>m</v>
      </c>
      <c r="CC6" s="73" t="str">
        <f t="shared" si="46"/>
        <v>m</v>
      </c>
      <c r="CD6" s="73" t="str">
        <f t="shared" si="46"/>
        <v>j</v>
      </c>
      <c r="CE6" s="73" t="str">
        <f t="shared" si="46"/>
        <v>v</v>
      </c>
      <c r="CF6" s="73" t="str">
        <f t="shared" si="46"/>
        <v>s</v>
      </c>
      <c r="CG6" s="73" t="str">
        <f t="shared" si="46"/>
        <v>d</v>
      </c>
      <c r="CH6" s="73" t="str">
        <f t="shared" si="46"/>
        <v>l</v>
      </c>
      <c r="CI6" s="73" t="str">
        <f t="shared" si="46"/>
        <v>m</v>
      </c>
      <c r="CJ6" s="73" t="str">
        <f t="shared" si="46"/>
        <v>m</v>
      </c>
      <c r="CK6" s="73" t="str">
        <f t="shared" si="46"/>
        <v>j</v>
      </c>
      <c r="CL6" s="73" t="str">
        <f t="shared" si="46"/>
        <v>v</v>
      </c>
      <c r="CM6" s="73" t="str">
        <f t="shared" si="46"/>
        <v>s</v>
      </c>
      <c r="CN6" s="73" t="str">
        <f t="shared" si="46"/>
        <v>d</v>
      </c>
      <c r="CO6" s="73" t="str">
        <f t="shared" si="46"/>
        <v>l</v>
      </c>
      <c r="CP6" s="73" t="str">
        <f t="shared" si="46"/>
        <v>m</v>
      </c>
      <c r="CQ6" s="73" t="str">
        <f t="shared" si="46"/>
        <v>m</v>
      </c>
      <c r="CR6" s="73" t="str">
        <f t="shared" si="46"/>
        <v>j</v>
      </c>
      <c r="CS6" s="73" t="str">
        <f t="shared" si="46"/>
        <v>v</v>
      </c>
      <c r="CT6" s="73" t="str">
        <f t="shared" si="46"/>
        <v>s</v>
      </c>
      <c r="CU6" s="73" t="str">
        <f t="shared" si="46"/>
        <v>d</v>
      </c>
      <c r="CV6" s="73" t="str">
        <f t="shared" si="46"/>
        <v>l</v>
      </c>
      <c r="CW6" s="73" t="str">
        <f t="shared" si="46"/>
        <v>m</v>
      </c>
      <c r="CX6" s="73" t="str">
        <f t="shared" si="46"/>
        <v>m</v>
      </c>
      <c r="CY6" s="73" t="str">
        <f t="shared" si="46"/>
        <v>j</v>
      </c>
      <c r="CZ6" s="73" t="str">
        <f t="shared" si="46"/>
        <v>v</v>
      </c>
      <c r="DA6" s="73" t="str">
        <f t="shared" si="46"/>
        <v>s</v>
      </c>
      <c r="DB6" s="73" t="str">
        <f t="shared" si="46"/>
        <v>d</v>
      </c>
      <c r="DC6" s="73" t="str">
        <f t="shared" si="46"/>
        <v>l</v>
      </c>
      <c r="DD6" s="73" t="str">
        <f t="shared" si="46"/>
        <v>m</v>
      </c>
      <c r="DE6" s="90" t="str">
        <f t="shared" si="46"/>
        <v>m</v>
      </c>
      <c r="DF6" s="89" t="str">
        <f t="shared" si="46"/>
        <v>j</v>
      </c>
      <c r="DG6" s="73" t="str">
        <f t="shared" si="46"/>
        <v>v</v>
      </c>
      <c r="DH6" s="73" t="str">
        <f t="shared" si="46"/>
        <v>s</v>
      </c>
      <c r="DI6" s="73" t="str">
        <f t="shared" si="46"/>
        <v>d</v>
      </c>
      <c r="DJ6" s="73" t="str">
        <f t="shared" si="46"/>
        <v>l</v>
      </c>
      <c r="DK6" s="73" t="str">
        <f t="shared" si="46"/>
        <v>m</v>
      </c>
      <c r="DL6" s="73" t="str">
        <f t="shared" si="46"/>
        <v>m</v>
      </c>
      <c r="DM6" s="73" t="str">
        <f t="shared" si="46"/>
        <v>j</v>
      </c>
      <c r="DN6" s="73" t="str">
        <f t="shared" si="46"/>
        <v>v</v>
      </c>
      <c r="DO6" s="73" t="str">
        <f t="shared" si="46"/>
        <v>s</v>
      </c>
      <c r="DP6" s="90" t="str">
        <f t="shared" si="46"/>
        <v>d</v>
      </c>
    </row>
    <row r="7" spans="1:120" ht="30" hidden="1" customHeight="1" thickBot="1" x14ac:dyDescent="0.4">
      <c r="A7" s="31" t="s">
        <v>6</v>
      </c>
      <c r="C7" s="35"/>
      <c r="E7"/>
      <c r="H7" t="str">
        <f>IF(OR(ISBLANK(Fecha_incio),ISBLANK(Fecha_final)),"",Fecha_final-Fecha_incio+1)</f>
        <v/>
      </c>
      <c r="I7" s="91"/>
      <c r="J7" s="27"/>
      <c r="K7" s="27"/>
      <c r="L7" s="27"/>
      <c r="M7" s="27"/>
      <c r="N7" s="27"/>
      <c r="O7" s="27"/>
      <c r="P7" s="27"/>
      <c r="Q7" s="92"/>
      <c r="R7" s="91"/>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92"/>
      <c r="AW7" s="91"/>
      <c r="AX7" s="27"/>
      <c r="AY7" s="27"/>
      <c r="AZ7" s="27"/>
      <c r="BA7" s="27"/>
      <c r="BB7" s="27"/>
      <c r="BC7" s="27"/>
      <c r="BD7" s="27"/>
      <c r="BE7" s="27"/>
      <c r="BF7" s="86"/>
      <c r="BG7" s="104"/>
      <c r="BH7" s="82"/>
      <c r="BI7" s="27"/>
      <c r="BJ7" s="27"/>
      <c r="BK7" s="27"/>
      <c r="BL7" s="27"/>
      <c r="BM7" s="27"/>
      <c r="BN7" s="27"/>
      <c r="BO7" s="27"/>
      <c r="BP7" s="27"/>
      <c r="BQ7" s="27"/>
      <c r="BR7" s="27"/>
      <c r="BS7" s="27"/>
      <c r="BT7" s="27"/>
      <c r="BU7" s="27"/>
      <c r="BV7" s="27"/>
      <c r="BW7" s="27"/>
      <c r="BX7" s="27"/>
      <c r="BY7" s="27"/>
      <c r="BZ7" s="92"/>
      <c r="CA7" s="91"/>
      <c r="CB7" s="27"/>
      <c r="CC7" s="27"/>
      <c r="CD7" s="27"/>
      <c r="CE7" s="27"/>
      <c r="CF7" s="27"/>
      <c r="CG7" s="27"/>
      <c r="CH7" s="27"/>
      <c r="CI7" s="27"/>
      <c r="CJ7" s="27"/>
      <c r="CK7" s="27"/>
      <c r="CL7" s="27"/>
      <c r="CM7" s="27"/>
      <c r="CN7" s="27"/>
      <c r="CO7" s="27"/>
      <c r="CP7" s="27"/>
      <c r="CQ7" s="27"/>
      <c r="CR7" s="27"/>
      <c r="CS7" s="27"/>
      <c r="CT7" s="27"/>
      <c r="CU7" s="27"/>
      <c r="CV7" s="27"/>
      <c r="CW7" s="27"/>
      <c r="CX7" s="27"/>
      <c r="CY7" s="27"/>
      <c r="CZ7" s="27"/>
      <c r="DA7" s="27"/>
      <c r="DB7" s="27"/>
      <c r="DC7" s="27"/>
      <c r="DD7" s="27"/>
      <c r="DE7" s="92"/>
      <c r="DF7" s="91"/>
      <c r="DG7" s="27"/>
      <c r="DH7" s="27"/>
      <c r="DI7" s="27"/>
      <c r="DJ7" s="27"/>
      <c r="DK7" s="27"/>
      <c r="DL7" s="27"/>
      <c r="DM7" s="27"/>
      <c r="DN7" s="27"/>
      <c r="DO7" s="27"/>
      <c r="DP7" s="92"/>
    </row>
    <row r="8" spans="1:120" s="3" customFormat="1" ht="30" customHeight="1" thickBot="1" x14ac:dyDescent="0.4">
      <c r="A8" s="32" t="s">
        <v>7</v>
      </c>
      <c r="B8" s="12" t="s">
        <v>34</v>
      </c>
      <c r="C8" s="39"/>
      <c r="D8" s="13"/>
      <c r="E8" s="53"/>
      <c r="F8" s="54"/>
      <c r="G8" s="11"/>
      <c r="H8" s="11" t="str">
        <f t="shared" ref="H8:H29" si="47">IF(OR(ISBLANK(Fecha_incio),ISBLANK(Fecha_final)),"",Fecha_final-Fecha_incio+1)</f>
        <v/>
      </c>
      <c r="I8" s="91"/>
      <c r="J8" s="27"/>
      <c r="K8" s="27"/>
      <c r="L8" s="27"/>
      <c r="M8" s="27"/>
      <c r="N8" s="27"/>
      <c r="O8" s="27"/>
      <c r="P8" s="27"/>
      <c r="Q8" s="92"/>
      <c r="R8" s="91"/>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92"/>
      <c r="AW8" s="91"/>
      <c r="AX8" s="27"/>
      <c r="AY8" s="27"/>
      <c r="AZ8" s="27"/>
      <c r="BA8" s="27"/>
      <c r="BB8" s="27"/>
      <c r="BC8" s="27"/>
      <c r="BD8" s="27"/>
      <c r="BE8" s="27"/>
      <c r="BF8" s="86"/>
      <c r="BG8" s="104"/>
      <c r="BH8" s="82"/>
      <c r="BI8" s="27"/>
      <c r="BJ8" s="27"/>
      <c r="BK8" s="27"/>
      <c r="BL8" s="27"/>
      <c r="BM8" s="27"/>
      <c r="BN8" s="27"/>
      <c r="BO8" s="27"/>
      <c r="BP8" s="27"/>
      <c r="BQ8" s="27"/>
      <c r="BR8" s="27"/>
      <c r="BS8" s="27"/>
      <c r="BT8" s="27"/>
      <c r="BU8" s="27"/>
      <c r="BV8" s="27"/>
      <c r="BW8" s="27"/>
      <c r="BX8" s="27"/>
      <c r="BY8" s="27"/>
      <c r="BZ8" s="92"/>
      <c r="CA8" s="91"/>
      <c r="CB8" s="27"/>
      <c r="CC8" s="27"/>
      <c r="CD8" s="27"/>
      <c r="CE8" s="27"/>
      <c r="CF8" s="27"/>
      <c r="CG8" s="27"/>
      <c r="CH8" s="27"/>
      <c r="CI8" s="27"/>
      <c r="CJ8" s="27"/>
      <c r="CK8" s="27"/>
      <c r="CL8" s="27"/>
      <c r="CM8" s="27"/>
      <c r="CN8" s="27"/>
      <c r="CO8" s="27"/>
      <c r="CP8" s="27"/>
      <c r="CQ8" s="27"/>
      <c r="CR8" s="27"/>
      <c r="CS8" s="27"/>
      <c r="CT8" s="27"/>
      <c r="CU8" s="27"/>
      <c r="CV8" s="27"/>
      <c r="CW8" s="27"/>
      <c r="CX8" s="27"/>
      <c r="CY8" s="27"/>
      <c r="CZ8" s="27"/>
      <c r="DA8" s="27"/>
      <c r="DB8" s="27"/>
      <c r="DC8" s="27"/>
      <c r="DD8" s="27"/>
      <c r="DE8" s="92"/>
      <c r="DF8" s="91"/>
      <c r="DG8" s="27"/>
      <c r="DH8" s="27"/>
      <c r="DI8" s="27"/>
      <c r="DJ8" s="27"/>
      <c r="DK8" s="27"/>
      <c r="DL8" s="27"/>
      <c r="DM8" s="27"/>
      <c r="DN8" s="27"/>
      <c r="DO8" s="27"/>
      <c r="DP8" s="92"/>
    </row>
    <row r="9" spans="1:120" s="3" customFormat="1" ht="30" customHeight="1" thickBot="1" x14ac:dyDescent="0.4">
      <c r="A9" s="32" t="s">
        <v>8</v>
      </c>
      <c r="B9" s="48" t="s">
        <v>29</v>
      </c>
      <c r="C9" s="40" t="s">
        <v>22</v>
      </c>
      <c r="D9" s="14">
        <v>1</v>
      </c>
      <c r="E9" s="55">
        <f>InicioDelProyecto</f>
        <v>45925</v>
      </c>
      <c r="F9" s="55">
        <f>E9+2</f>
        <v>45927</v>
      </c>
      <c r="G9" s="11"/>
      <c r="H9" s="11">
        <f t="shared" si="47"/>
        <v>3</v>
      </c>
      <c r="I9" s="91"/>
      <c r="J9" s="27"/>
      <c r="K9" s="27"/>
      <c r="L9" s="27"/>
      <c r="M9" s="27"/>
      <c r="N9" s="27"/>
      <c r="O9" s="27"/>
      <c r="P9" s="27"/>
      <c r="Q9" s="92"/>
      <c r="R9" s="91"/>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92"/>
      <c r="AW9" s="91"/>
      <c r="AX9" s="27"/>
      <c r="AY9" s="27"/>
      <c r="AZ9" s="27"/>
      <c r="BA9" s="27"/>
      <c r="BB9" s="27"/>
      <c r="BC9" s="27"/>
      <c r="BD9" s="27"/>
      <c r="BE9" s="27"/>
      <c r="BF9" s="86"/>
      <c r="BG9" s="104"/>
      <c r="BH9" s="82"/>
      <c r="BI9" s="27"/>
      <c r="BJ9" s="27"/>
      <c r="BK9" s="27"/>
      <c r="BL9" s="27"/>
      <c r="BM9" s="27"/>
      <c r="BN9" s="27"/>
      <c r="BO9" s="27"/>
      <c r="BP9" s="27"/>
      <c r="BQ9" s="27"/>
      <c r="BR9" s="27"/>
      <c r="BS9" s="27"/>
      <c r="BT9" s="27"/>
      <c r="BU9" s="27"/>
      <c r="BV9" s="27"/>
      <c r="BW9" s="27"/>
      <c r="BX9" s="27"/>
      <c r="BY9" s="27"/>
      <c r="BZ9" s="92"/>
      <c r="CA9" s="91"/>
      <c r="CB9" s="27"/>
      <c r="CC9" s="27"/>
      <c r="CD9" s="27"/>
      <c r="CE9" s="27"/>
      <c r="CF9" s="27"/>
      <c r="CG9" s="27"/>
      <c r="CH9" s="27"/>
      <c r="CI9" s="27"/>
      <c r="CJ9" s="27"/>
      <c r="CK9" s="27"/>
      <c r="CL9" s="27"/>
      <c r="CM9" s="27"/>
      <c r="CN9" s="27"/>
      <c r="CO9" s="27"/>
      <c r="CP9" s="27"/>
      <c r="CQ9" s="27"/>
      <c r="CR9" s="27"/>
      <c r="CS9" s="27"/>
      <c r="CT9" s="27"/>
      <c r="CU9" s="27"/>
      <c r="CV9" s="27"/>
      <c r="CW9" s="27"/>
      <c r="CX9" s="27"/>
      <c r="CY9" s="27"/>
      <c r="CZ9" s="27"/>
      <c r="DA9" s="27"/>
      <c r="DB9" s="27"/>
      <c r="DC9" s="27"/>
      <c r="DD9" s="27"/>
      <c r="DE9" s="92"/>
      <c r="DF9" s="91"/>
      <c r="DG9" s="27"/>
      <c r="DH9" s="27"/>
      <c r="DI9" s="27"/>
      <c r="DJ9" s="27"/>
      <c r="DK9" s="27"/>
      <c r="DL9" s="27"/>
      <c r="DM9" s="27"/>
      <c r="DN9" s="27"/>
      <c r="DO9" s="27"/>
      <c r="DP9" s="92"/>
    </row>
    <row r="10" spans="1:120" s="3" customFormat="1" ht="30" customHeight="1" thickBot="1" x14ac:dyDescent="0.4">
      <c r="A10" s="32" t="s">
        <v>9</v>
      </c>
      <c r="B10" s="48" t="s">
        <v>30</v>
      </c>
      <c r="C10" s="40"/>
      <c r="D10" s="14">
        <v>1</v>
      </c>
      <c r="E10" s="55">
        <f>F9</f>
        <v>45927</v>
      </c>
      <c r="F10" s="55">
        <f>E10+1</f>
        <v>45928</v>
      </c>
      <c r="G10" s="11"/>
      <c r="H10" s="11">
        <f t="shared" si="47"/>
        <v>2</v>
      </c>
      <c r="I10" s="91"/>
      <c r="J10" s="27"/>
      <c r="K10" s="27"/>
      <c r="L10" s="27"/>
      <c r="M10" s="27"/>
      <c r="N10" s="27"/>
      <c r="O10" s="27"/>
      <c r="P10" s="27"/>
      <c r="Q10" s="92"/>
      <c r="R10" s="91"/>
      <c r="S10" s="27"/>
      <c r="T10" s="27"/>
      <c r="U10" s="28"/>
      <c r="V10" s="28"/>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92"/>
      <c r="AW10" s="91"/>
      <c r="AX10" s="27"/>
      <c r="AY10" s="27"/>
      <c r="AZ10" s="27"/>
      <c r="BA10" s="27"/>
      <c r="BB10" s="27"/>
      <c r="BC10" s="27"/>
      <c r="BD10" s="27"/>
      <c r="BE10" s="27"/>
      <c r="BF10" s="86"/>
      <c r="BG10" s="104"/>
      <c r="BH10" s="82"/>
      <c r="BI10" s="27"/>
      <c r="BJ10" s="27"/>
      <c r="BK10" s="27"/>
      <c r="BL10" s="27"/>
      <c r="BM10" s="27"/>
      <c r="BN10" s="27"/>
      <c r="BO10" s="27"/>
      <c r="BP10" s="27"/>
      <c r="BQ10" s="27"/>
      <c r="BR10" s="27"/>
      <c r="BS10" s="27"/>
      <c r="BT10" s="27"/>
      <c r="BU10" s="27"/>
      <c r="BV10" s="27"/>
      <c r="BW10" s="27"/>
      <c r="BX10" s="27"/>
      <c r="BY10" s="27"/>
      <c r="BZ10" s="92"/>
      <c r="CA10" s="91"/>
      <c r="CB10" s="27"/>
      <c r="CC10" s="27"/>
      <c r="CD10" s="27"/>
      <c r="CE10" s="27"/>
      <c r="CF10" s="27"/>
      <c r="CG10" s="27"/>
      <c r="CH10" s="27"/>
      <c r="CI10" s="27"/>
      <c r="CJ10" s="27"/>
      <c r="CK10" s="27"/>
      <c r="CL10" s="27"/>
      <c r="CM10" s="27"/>
      <c r="CN10" s="27"/>
      <c r="CO10" s="27"/>
      <c r="CP10" s="27"/>
      <c r="CQ10" s="27"/>
      <c r="CR10" s="27"/>
      <c r="CS10" s="27"/>
      <c r="CT10" s="27"/>
      <c r="CU10" s="27"/>
      <c r="CV10" s="27"/>
      <c r="CW10" s="27"/>
      <c r="CX10" s="27"/>
      <c r="CY10" s="27"/>
      <c r="CZ10" s="27"/>
      <c r="DA10" s="27"/>
      <c r="DB10" s="27"/>
      <c r="DC10" s="27"/>
      <c r="DD10" s="27"/>
      <c r="DE10" s="92"/>
      <c r="DF10" s="91"/>
      <c r="DG10" s="27"/>
      <c r="DH10" s="27"/>
      <c r="DI10" s="27"/>
      <c r="DJ10" s="27"/>
      <c r="DK10" s="27"/>
      <c r="DL10" s="27"/>
      <c r="DM10" s="27"/>
      <c r="DN10" s="27"/>
      <c r="DO10" s="27"/>
      <c r="DP10" s="92"/>
    </row>
    <row r="11" spans="1:120" s="3" customFormat="1" ht="30" customHeight="1" thickBot="1" x14ac:dyDescent="0.4">
      <c r="A11" s="31"/>
      <c r="B11" s="48" t="s">
        <v>31</v>
      </c>
      <c r="C11" s="40"/>
      <c r="D11" s="14">
        <v>1</v>
      </c>
      <c r="E11" s="55">
        <f>F10</f>
        <v>45928</v>
      </c>
      <c r="F11" s="55">
        <f>E11+9</f>
        <v>45937</v>
      </c>
      <c r="G11" s="11"/>
      <c r="H11" s="11">
        <f t="shared" si="47"/>
        <v>10</v>
      </c>
      <c r="I11" s="91"/>
      <c r="J11" s="27"/>
      <c r="K11" s="27"/>
      <c r="L11" s="27"/>
      <c r="M11" s="27"/>
      <c r="N11" s="27"/>
      <c r="O11" s="27"/>
      <c r="P11" s="27"/>
      <c r="Q11" s="92"/>
      <c r="R11" s="91"/>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92"/>
      <c r="AW11" s="91"/>
      <c r="AX11" s="27"/>
      <c r="AY11" s="27"/>
      <c r="AZ11" s="27"/>
      <c r="BA11" s="27"/>
      <c r="BB11" s="27"/>
      <c r="BC11" s="27"/>
      <c r="BD11" s="27"/>
      <c r="BE11" s="27"/>
      <c r="BF11" s="86"/>
      <c r="BG11" s="104"/>
      <c r="BH11" s="82"/>
      <c r="BI11" s="27"/>
      <c r="BJ11" s="27"/>
      <c r="BK11" s="27"/>
      <c r="BL11" s="27"/>
      <c r="BM11" s="27"/>
      <c r="BN11" s="27"/>
      <c r="BO11" s="27"/>
      <c r="BP11" s="27"/>
      <c r="BQ11" s="27"/>
      <c r="BR11" s="27"/>
      <c r="BS11" s="27"/>
      <c r="BT11" s="27"/>
      <c r="BU11" s="27"/>
      <c r="BV11" s="27"/>
      <c r="BW11" s="27"/>
      <c r="BX11" s="27"/>
      <c r="BY11" s="27"/>
      <c r="BZ11" s="92"/>
      <c r="CA11" s="91"/>
      <c r="CB11" s="27"/>
      <c r="CC11" s="27"/>
      <c r="CD11" s="27"/>
      <c r="CE11" s="27"/>
      <c r="CF11" s="27"/>
      <c r="CG11" s="27"/>
      <c r="CH11" s="27"/>
      <c r="CI11" s="27"/>
      <c r="CJ11" s="27"/>
      <c r="CK11" s="27"/>
      <c r="CL11" s="27"/>
      <c r="CM11" s="27"/>
      <c r="CN11" s="27"/>
      <c r="CO11" s="27"/>
      <c r="CP11" s="27"/>
      <c r="CQ11" s="27"/>
      <c r="CR11" s="27"/>
      <c r="CS11" s="27"/>
      <c r="CT11" s="27"/>
      <c r="CU11" s="27"/>
      <c r="CV11" s="27"/>
      <c r="CW11" s="27"/>
      <c r="CX11" s="27"/>
      <c r="CY11" s="27"/>
      <c r="CZ11" s="27"/>
      <c r="DA11" s="27"/>
      <c r="DB11" s="27"/>
      <c r="DC11" s="27"/>
      <c r="DD11" s="27"/>
      <c r="DE11" s="92"/>
      <c r="DF11" s="91"/>
      <c r="DG11" s="27"/>
      <c r="DH11" s="27"/>
      <c r="DI11" s="27"/>
      <c r="DJ11" s="27"/>
      <c r="DK11" s="27"/>
      <c r="DL11" s="27"/>
      <c r="DM11" s="27"/>
      <c r="DN11" s="27"/>
      <c r="DO11" s="27"/>
      <c r="DP11" s="92"/>
    </row>
    <row r="12" spans="1:120" s="3" customFormat="1" ht="30" customHeight="1" thickBot="1" x14ac:dyDescent="0.4">
      <c r="A12" s="32" t="s">
        <v>10</v>
      </c>
      <c r="B12" s="15" t="s">
        <v>32</v>
      </c>
      <c r="C12" s="41"/>
      <c r="D12" s="16"/>
      <c r="E12" s="56"/>
      <c r="F12" s="57"/>
      <c r="G12" s="11"/>
      <c r="H12" s="11" t="str">
        <f t="shared" si="47"/>
        <v/>
      </c>
      <c r="I12" s="91"/>
      <c r="J12" s="27"/>
      <c r="K12" s="27"/>
      <c r="L12" s="27"/>
      <c r="M12" s="27"/>
      <c r="N12" s="27"/>
      <c r="O12" s="27"/>
      <c r="P12" s="27"/>
      <c r="Q12" s="92"/>
      <c r="R12" s="91"/>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92"/>
      <c r="AW12" s="91"/>
      <c r="AX12" s="27"/>
      <c r="AY12" s="27"/>
      <c r="AZ12" s="27"/>
      <c r="BA12" s="27"/>
      <c r="BB12" s="27"/>
      <c r="BC12" s="27"/>
      <c r="BD12" s="27"/>
      <c r="BE12" s="27"/>
      <c r="BF12" s="86"/>
      <c r="BG12" s="104"/>
      <c r="BH12" s="82"/>
      <c r="BI12" s="27"/>
      <c r="BJ12" s="27"/>
      <c r="BK12" s="27"/>
      <c r="BL12" s="27"/>
      <c r="BM12" s="27"/>
      <c r="BN12" s="27"/>
      <c r="BO12" s="27"/>
      <c r="BP12" s="27"/>
      <c r="BQ12" s="27"/>
      <c r="BR12" s="27"/>
      <c r="BS12" s="27"/>
      <c r="BT12" s="27"/>
      <c r="BU12" s="27"/>
      <c r="BV12" s="27"/>
      <c r="BW12" s="27"/>
      <c r="BX12" s="27"/>
      <c r="BY12" s="27"/>
      <c r="BZ12" s="92"/>
      <c r="CA12" s="91"/>
      <c r="CB12" s="27"/>
      <c r="CC12" s="27"/>
      <c r="CD12" s="27"/>
      <c r="CE12" s="27"/>
      <c r="CF12" s="27"/>
      <c r="CG12" s="27"/>
      <c r="CH12" s="27"/>
      <c r="CI12" s="27"/>
      <c r="CJ12" s="27"/>
      <c r="CK12" s="27"/>
      <c r="CL12" s="27"/>
      <c r="CM12" s="27"/>
      <c r="CN12" s="27"/>
      <c r="CO12" s="27"/>
      <c r="CP12" s="27"/>
      <c r="CQ12" s="27"/>
      <c r="CR12" s="27"/>
      <c r="CS12" s="27"/>
      <c r="CT12" s="27"/>
      <c r="CU12" s="27"/>
      <c r="CV12" s="27"/>
      <c r="CW12" s="27"/>
      <c r="CX12" s="27"/>
      <c r="CY12" s="27"/>
      <c r="CZ12" s="27"/>
      <c r="DA12" s="27"/>
      <c r="DB12" s="27"/>
      <c r="DC12" s="27"/>
      <c r="DD12" s="27"/>
      <c r="DE12" s="92"/>
      <c r="DF12" s="91"/>
      <c r="DG12" s="27"/>
      <c r="DH12" s="27"/>
      <c r="DI12" s="27"/>
      <c r="DJ12" s="27"/>
      <c r="DK12" s="27"/>
      <c r="DL12" s="27"/>
      <c r="DM12" s="27"/>
      <c r="DN12" s="27"/>
      <c r="DO12" s="27"/>
      <c r="DP12" s="92"/>
    </row>
    <row r="13" spans="1:120" s="3" customFormat="1" ht="30" customHeight="1" thickBot="1" x14ac:dyDescent="0.4">
      <c r="A13" s="32"/>
      <c r="B13" s="49" t="s">
        <v>33</v>
      </c>
      <c r="C13" s="42"/>
      <c r="D13" s="14">
        <v>1</v>
      </c>
      <c r="E13" s="58">
        <f>F11+1</f>
        <v>45938</v>
      </c>
      <c r="F13" s="58">
        <f>E13+12</f>
        <v>45950</v>
      </c>
      <c r="G13" s="11"/>
      <c r="H13" s="11">
        <f t="shared" si="47"/>
        <v>13</v>
      </c>
      <c r="I13" s="91"/>
      <c r="J13" s="27"/>
      <c r="K13" s="27"/>
      <c r="L13" s="27"/>
      <c r="M13" s="27"/>
      <c r="N13" s="27"/>
      <c r="O13" s="27"/>
      <c r="P13" s="27"/>
      <c r="Q13" s="92"/>
      <c r="R13" s="91"/>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92"/>
      <c r="AW13" s="91"/>
      <c r="AX13" s="27"/>
      <c r="AY13" s="27"/>
      <c r="AZ13" s="27"/>
      <c r="BA13" s="27"/>
      <c r="BB13" s="27"/>
      <c r="BC13" s="27"/>
      <c r="BD13" s="27"/>
      <c r="BE13" s="27"/>
      <c r="BF13" s="86"/>
      <c r="BG13" s="104"/>
      <c r="BH13" s="82"/>
      <c r="BI13" s="27"/>
      <c r="BJ13" s="27"/>
      <c r="BK13" s="27"/>
      <c r="BL13" s="27"/>
      <c r="BM13" s="27"/>
      <c r="BN13" s="27"/>
      <c r="BO13" s="27"/>
      <c r="BP13" s="27"/>
      <c r="BQ13" s="27"/>
      <c r="BR13" s="27"/>
      <c r="BS13" s="27"/>
      <c r="BT13" s="27"/>
      <c r="BU13" s="27"/>
      <c r="BV13" s="27"/>
      <c r="BW13" s="27"/>
      <c r="BX13" s="27"/>
      <c r="BY13" s="27"/>
      <c r="BZ13" s="92"/>
      <c r="CA13" s="91"/>
      <c r="CB13" s="27"/>
      <c r="CC13" s="27"/>
      <c r="CD13" s="27"/>
      <c r="CE13" s="27"/>
      <c r="CF13" s="27"/>
      <c r="CG13" s="27"/>
      <c r="CH13" s="27"/>
      <c r="CI13" s="27"/>
      <c r="CJ13" s="27"/>
      <c r="CK13" s="27"/>
      <c r="CL13" s="27"/>
      <c r="CM13" s="27"/>
      <c r="CN13" s="27"/>
      <c r="CO13" s="27"/>
      <c r="CP13" s="27"/>
      <c r="CQ13" s="27"/>
      <c r="CR13" s="27"/>
      <c r="CS13" s="27"/>
      <c r="CT13" s="27"/>
      <c r="CU13" s="27"/>
      <c r="CV13" s="27"/>
      <c r="CW13" s="27"/>
      <c r="CX13" s="27"/>
      <c r="CY13" s="27"/>
      <c r="CZ13" s="27"/>
      <c r="DA13" s="27"/>
      <c r="DB13" s="27"/>
      <c r="DC13" s="27"/>
      <c r="DD13" s="27"/>
      <c r="DE13" s="92"/>
      <c r="DF13" s="91"/>
      <c r="DG13" s="27"/>
      <c r="DH13" s="27"/>
      <c r="DI13" s="27"/>
      <c r="DJ13" s="27"/>
      <c r="DK13" s="27"/>
      <c r="DL13" s="27"/>
      <c r="DM13" s="27"/>
      <c r="DN13" s="27"/>
      <c r="DO13" s="27"/>
      <c r="DP13" s="92"/>
    </row>
    <row r="14" spans="1:120" s="3" customFormat="1" ht="30" customHeight="1" thickBot="1" x14ac:dyDescent="0.4">
      <c r="A14" s="31"/>
      <c r="B14" s="49" t="s">
        <v>35</v>
      </c>
      <c r="C14" s="42"/>
      <c r="D14" s="14">
        <v>1</v>
      </c>
      <c r="E14" s="58">
        <f>F13</f>
        <v>45950</v>
      </c>
      <c r="F14" s="58">
        <f>E14+8</f>
        <v>45958</v>
      </c>
      <c r="G14" s="11"/>
      <c r="H14" s="11">
        <f t="shared" si="47"/>
        <v>9</v>
      </c>
      <c r="I14" s="91"/>
      <c r="J14" s="27"/>
      <c r="K14" s="27"/>
      <c r="L14" s="27"/>
      <c r="M14" s="27"/>
      <c r="N14" s="27"/>
      <c r="O14" s="27"/>
      <c r="P14" s="27"/>
      <c r="Q14" s="92"/>
      <c r="R14" s="91"/>
      <c r="S14" s="27"/>
      <c r="T14" s="27"/>
      <c r="U14" s="28"/>
      <c r="V14" s="28"/>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92"/>
      <c r="AW14" s="91"/>
      <c r="AX14" s="27"/>
      <c r="AY14" s="27"/>
      <c r="AZ14" s="27"/>
      <c r="BA14" s="27"/>
      <c r="BB14" s="27"/>
      <c r="BC14" s="27"/>
      <c r="BD14" s="27"/>
      <c r="BE14" s="27"/>
      <c r="BF14" s="86"/>
      <c r="BG14" s="104"/>
      <c r="BH14" s="82"/>
      <c r="BI14" s="27"/>
      <c r="BJ14" s="27"/>
      <c r="BK14" s="27"/>
      <c r="BL14" s="27"/>
      <c r="BM14" s="27"/>
      <c r="BN14" s="27"/>
      <c r="BO14" s="27"/>
      <c r="BP14" s="27"/>
      <c r="BQ14" s="27"/>
      <c r="BR14" s="27"/>
      <c r="BS14" s="27"/>
      <c r="BT14" s="27"/>
      <c r="BU14" s="27"/>
      <c r="BV14" s="27"/>
      <c r="BW14" s="27"/>
      <c r="BX14" s="27"/>
      <c r="BY14" s="27"/>
      <c r="BZ14" s="92"/>
      <c r="CA14" s="91"/>
      <c r="CB14" s="27"/>
      <c r="CC14" s="27"/>
      <c r="CD14" s="27"/>
      <c r="CE14" s="27"/>
      <c r="CF14" s="27"/>
      <c r="CG14" s="27"/>
      <c r="CH14" s="27"/>
      <c r="CI14" s="27"/>
      <c r="CJ14" s="27"/>
      <c r="CK14" s="27"/>
      <c r="CL14" s="27"/>
      <c r="CM14" s="27"/>
      <c r="CN14" s="27"/>
      <c r="CO14" s="27"/>
      <c r="CP14" s="27"/>
      <c r="CQ14" s="27"/>
      <c r="CR14" s="27"/>
      <c r="CS14" s="27"/>
      <c r="CT14" s="27"/>
      <c r="CU14" s="27"/>
      <c r="CV14" s="27"/>
      <c r="CW14" s="27"/>
      <c r="CX14" s="27"/>
      <c r="CY14" s="27"/>
      <c r="CZ14" s="27"/>
      <c r="DA14" s="27"/>
      <c r="DB14" s="27"/>
      <c r="DC14" s="27"/>
      <c r="DD14" s="27"/>
      <c r="DE14" s="92"/>
      <c r="DF14" s="91"/>
      <c r="DG14" s="27"/>
      <c r="DH14" s="27"/>
      <c r="DI14" s="27"/>
      <c r="DJ14" s="27"/>
      <c r="DK14" s="27"/>
      <c r="DL14" s="27"/>
      <c r="DM14" s="27"/>
      <c r="DN14" s="27"/>
      <c r="DO14" s="27"/>
      <c r="DP14" s="92"/>
    </row>
    <row r="15" spans="1:120" s="3" customFormat="1" ht="30" customHeight="1" thickBot="1" x14ac:dyDescent="0.4">
      <c r="A15" s="31"/>
      <c r="B15" s="49" t="s">
        <v>36</v>
      </c>
      <c r="C15" s="42"/>
      <c r="D15" s="14">
        <v>1</v>
      </c>
      <c r="E15" s="58">
        <f>F14</f>
        <v>45958</v>
      </c>
      <c r="F15" s="58">
        <f>E15+10</f>
        <v>45968</v>
      </c>
      <c r="G15" s="11"/>
      <c r="H15" s="11">
        <f t="shared" si="47"/>
        <v>11</v>
      </c>
      <c r="I15" s="91"/>
      <c r="J15" s="27"/>
      <c r="K15" s="27"/>
      <c r="L15" s="27"/>
      <c r="M15" s="27"/>
      <c r="N15" s="27"/>
      <c r="O15" s="27"/>
      <c r="P15" s="27"/>
      <c r="Q15" s="92"/>
      <c r="R15" s="91"/>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92"/>
      <c r="AW15" s="91"/>
      <c r="AX15" s="27"/>
      <c r="AY15" s="27"/>
      <c r="AZ15" s="27"/>
      <c r="BA15" s="27"/>
      <c r="BB15" s="27"/>
      <c r="BC15" s="27"/>
      <c r="BD15" s="27"/>
      <c r="BE15" s="27"/>
      <c r="BF15" s="86"/>
      <c r="BG15" s="104"/>
      <c r="BH15" s="82"/>
      <c r="BI15" s="27"/>
      <c r="BJ15" s="27"/>
      <c r="BK15" s="27"/>
      <c r="BL15" s="27"/>
      <c r="BM15" s="27"/>
      <c r="BN15" s="27"/>
      <c r="BO15" s="27"/>
      <c r="BP15" s="27"/>
      <c r="BQ15" s="27"/>
      <c r="BR15" s="27"/>
      <c r="BS15" s="27"/>
      <c r="BT15" s="27"/>
      <c r="BU15" s="27"/>
      <c r="BV15" s="27"/>
      <c r="BW15" s="27"/>
      <c r="BX15" s="27"/>
      <c r="BY15" s="27"/>
      <c r="BZ15" s="92"/>
      <c r="CA15" s="91"/>
      <c r="CB15" s="27"/>
      <c r="CC15" s="27"/>
      <c r="CD15" s="27"/>
      <c r="CE15" s="27"/>
      <c r="CF15" s="27"/>
      <c r="CG15" s="27"/>
      <c r="CH15" s="27"/>
      <c r="CI15" s="27"/>
      <c r="CJ15" s="27"/>
      <c r="CK15" s="27"/>
      <c r="CL15" s="27"/>
      <c r="CM15" s="27"/>
      <c r="CN15" s="27"/>
      <c r="CO15" s="27"/>
      <c r="CP15" s="27"/>
      <c r="CQ15" s="27"/>
      <c r="CR15" s="27"/>
      <c r="CS15" s="27"/>
      <c r="CT15" s="27"/>
      <c r="CU15" s="27"/>
      <c r="CV15" s="27"/>
      <c r="CW15" s="27"/>
      <c r="CX15" s="27"/>
      <c r="CY15" s="27"/>
      <c r="CZ15" s="27"/>
      <c r="DA15" s="27"/>
      <c r="DB15" s="27"/>
      <c r="DC15" s="27"/>
      <c r="DD15" s="27"/>
      <c r="DE15" s="92"/>
      <c r="DF15" s="91"/>
      <c r="DG15" s="27"/>
      <c r="DH15" s="27"/>
      <c r="DI15" s="27"/>
      <c r="DJ15" s="27"/>
      <c r="DK15" s="27"/>
      <c r="DL15" s="27"/>
      <c r="DM15" s="27"/>
      <c r="DN15" s="27"/>
      <c r="DO15" s="27"/>
      <c r="DP15" s="92"/>
    </row>
    <row r="16" spans="1:120" s="3" customFormat="1" ht="30" customHeight="1" thickBot="1" x14ac:dyDescent="0.4">
      <c r="A16" s="31" t="s">
        <v>11</v>
      </c>
      <c r="B16" s="17" t="s">
        <v>37</v>
      </c>
      <c r="C16" s="43"/>
      <c r="D16" s="18"/>
      <c r="E16" s="59"/>
      <c r="F16" s="60"/>
      <c r="G16" s="11"/>
      <c r="H16" s="11" t="str">
        <f t="shared" si="47"/>
        <v/>
      </c>
      <c r="I16" s="91"/>
      <c r="J16" s="27"/>
      <c r="K16" s="27"/>
      <c r="L16" s="27"/>
      <c r="M16" s="27"/>
      <c r="N16" s="27"/>
      <c r="O16" s="27"/>
      <c r="P16" s="27"/>
      <c r="Q16" s="92"/>
      <c r="R16" s="91"/>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92"/>
      <c r="AW16" s="91"/>
      <c r="AX16" s="27"/>
      <c r="AY16" s="27"/>
      <c r="AZ16" s="27"/>
      <c r="BA16" s="27"/>
      <c r="BB16" s="27"/>
      <c r="BC16" s="27"/>
      <c r="BD16" s="27"/>
      <c r="BE16" s="27"/>
      <c r="BF16" s="86"/>
      <c r="BG16" s="104"/>
      <c r="BH16" s="82"/>
      <c r="BI16" s="27"/>
      <c r="BJ16" s="27"/>
      <c r="BK16" s="27"/>
      <c r="BL16" s="27"/>
      <c r="BM16" s="27"/>
      <c r="BN16" s="27"/>
      <c r="BO16" s="27"/>
      <c r="BP16" s="27"/>
      <c r="BQ16" s="27"/>
      <c r="BR16" s="27"/>
      <c r="BS16" s="27"/>
      <c r="BT16" s="27"/>
      <c r="BU16" s="27"/>
      <c r="BV16" s="27"/>
      <c r="BW16" s="27"/>
      <c r="BX16" s="27"/>
      <c r="BY16" s="27"/>
      <c r="BZ16" s="92"/>
      <c r="CA16" s="91"/>
      <c r="CB16" s="27"/>
      <c r="CC16" s="27"/>
      <c r="CD16" s="27"/>
      <c r="CE16" s="27"/>
      <c r="CF16" s="27"/>
      <c r="CG16" s="27"/>
      <c r="CH16" s="27"/>
      <c r="CI16" s="27"/>
      <c r="CJ16" s="27"/>
      <c r="CK16" s="27"/>
      <c r="CL16" s="27"/>
      <c r="CM16" s="27"/>
      <c r="CN16" s="27"/>
      <c r="CO16" s="27"/>
      <c r="CP16" s="27"/>
      <c r="CQ16" s="27"/>
      <c r="CR16" s="27"/>
      <c r="CS16" s="27"/>
      <c r="CT16" s="27"/>
      <c r="CU16" s="27"/>
      <c r="CV16" s="27"/>
      <c r="CW16" s="27"/>
      <c r="CX16" s="27"/>
      <c r="CY16" s="27"/>
      <c r="CZ16" s="27"/>
      <c r="DA16" s="27"/>
      <c r="DB16" s="27"/>
      <c r="DC16" s="27"/>
      <c r="DD16" s="27"/>
      <c r="DE16" s="92"/>
      <c r="DF16" s="91"/>
      <c r="DG16" s="27"/>
      <c r="DH16" s="27"/>
      <c r="DI16" s="27"/>
      <c r="DJ16" s="27"/>
      <c r="DK16" s="27"/>
      <c r="DL16" s="27"/>
      <c r="DM16" s="27"/>
      <c r="DN16" s="27"/>
      <c r="DO16" s="27"/>
      <c r="DP16" s="92"/>
    </row>
    <row r="17" spans="1:120" s="3" customFormat="1" ht="30" customHeight="1" thickBot="1" x14ac:dyDescent="0.4">
      <c r="A17" s="31"/>
      <c r="B17" s="50" t="s">
        <v>38</v>
      </c>
      <c r="C17" s="44"/>
      <c r="D17" s="14">
        <v>1</v>
      </c>
      <c r="E17" s="61">
        <f>F15+1</f>
        <v>45969</v>
      </c>
      <c r="F17" s="61">
        <f>E17+3</f>
        <v>45972</v>
      </c>
      <c r="G17" s="11"/>
      <c r="H17" s="11">
        <f t="shared" si="47"/>
        <v>4</v>
      </c>
      <c r="I17" s="91"/>
      <c r="J17" s="27"/>
      <c r="K17" s="27"/>
      <c r="L17" s="27"/>
      <c r="M17" s="27"/>
      <c r="N17" s="27"/>
      <c r="O17" s="27"/>
      <c r="P17" s="27"/>
      <c r="Q17" s="92"/>
      <c r="R17" s="91"/>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92"/>
      <c r="AW17" s="91"/>
      <c r="AX17" s="27"/>
      <c r="AY17" s="27"/>
      <c r="AZ17" s="27"/>
      <c r="BA17" s="27"/>
      <c r="BB17" s="27"/>
      <c r="BC17" s="27"/>
      <c r="BD17" s="27"/>
      <c r="BE17" s="27"/>
      <c r="BF17" s="86"/>
      <c r="BG17" s="104"/>
      <c r="BH17" s="82"/>
      <c r="BI17" s="27"/>
      <c r="BJ17" s="27"/>
      <c r="BK17" s="27"/>
      <c r="BL17" s="27"/>
      <c r="BM17" s="27"/>
      <c r="BN17" s="27"/>
      <c r="BO17" s="27"/>
      <c r="BP17" s="27"/>
      <c r="BQ17" s="27"/>
      <c r="BR17" s="27"/>
      <c r="BS17" s="27"/>
      <c r="BT17" s="27"/>
      <c r="BU17" s="27"/>
      <c r="BV17" s="27"/>
      <c r="BW17" s="27"/>
      <c r="BX17" s="27"/>
      <c r="BY17" s="27"/>
      <c r="BZ17" s="92"/>
      <c r="CA17" s="91"/>
      <c r="CB17" s="27"/>
      <c r="CC17" s="27"/>
      <c r="CD17" s="27"/>
      <c r="CE17" s="27"/>
      <c r="CF17" s="27"/>
      <c r="CG17" s="27"/>
      <c r="CH17" s="27"/>
      <c r="CI17" s="27"/>
      <c r="CJ17" s="27"/>
      <c r="CK17" s="27"/>
      <c r="CL17" s="27"/>
      <c r="CM17" s="27"/>
      <c r="CN17" s="27"/>
      <c r="CO17" s="27"/>
      <c r="CP17" s="27"/>
      <c r="CQ17" s="27"/>
      <c r="CR17" s="27"/>
      <c r="CS17" s="27"/>
      <c r="CT17" s="27"/>
      <c r="CU17" s="27"/>
      <c r="CV17" s="27"/>
      <c r="CW17" s="27"/>
      <c r="CX17" s="27"/>
      <c r="CY17" s="27"/>
      <c r="CZ17" s="27"/>
      <c r="DA17" s="27"/>
      <c r="DB17" s="27"/>
      <c r="DC17" s="27"/>
      <c r="DD17" s="27"/>
      <c r="DE17" s="92"/>
      <c r="DF17" s="91"/>
      <c r="DG17" s="27"/>
      <c r="DH17" s="27"/>
      <c r="DI17" s="27"/>
      <c r="DJ17" s="27"/>
      <c r="DK17" s="27"/>
      <c r="DL17" s="27"/>
      <c r="DM17" s="27"/>
      <c r="DN17" s="27"/>
      <c r="DO17" s="27"/>
      <c r="DP17" s="92"/>
    </row>
    <row r="18" spans="1:120" s="3" customFormat="1" ht="30" customHeight="1" thickBot="1" x14ac:dyDescent="0.4">
      <c r="A18" s="31"/>
      <c r="B18" s="50" t="s">
        <v>39</v>
      </c>
      <c r="C18" s="44"/>
      <c r="D18" s="19">
        <v>0.5</v>
      </c>
      <c r="E18" s="61">
        <f>F17</f>
        <v>45972</v>
      </c>
      <c r="F18" s="61">
        <f>E18+13</f>
        <v>45985</v>
      </c>
      <c r="G18" s="11"/>
      <c r="H18" s="11">
        <f t="shared" si="47"/>
        <v>14</v>
      </c>
      <c r="I18" s="91"/>
      <c r="J18" s="27"/>
      <c r="K18" s="27"/>
      <c r="L18" s="27"/>
      <c r="M18" s="27"/>
      <c r="N18" s="27"/>
      <c r="O18" s="27"/>
      <c r="P18" s="27"/>
      <c r="Q18" s="92"/>
      <c r="R18" s="91"/>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92"/>
      <c r="AW18" s="91"/>
      <c r="AX18" s="27"/>
      <c r="AY18" s="27"/>
      <c r="AZ18" s="27"/>
      <c r="BA18" s="27"/>
      <c r="BB18" s="27"/>
      <c r="BC18" s="27"/>
      <c r="BD18" s="27"/>
      <c r="BE18" s="27"/>
      <c r="BF18" s="86"/>
      <c r="BG18" s="104"/>
      <c r="BH18" s="82"/>
      <c r="BI18" s="27"/>
      <c r="BJ18" s="27"/>
      <c r="BK18" s="27"/>
      <c r="BL18" s="27"/>
      <c r="BM18" s="27"/>
      <c r="BN18" s="27"/>
      <c r="BO18" s="27"/>
      <c r="BP18" s="27"/>
      <c r="BQ18" s="27"/>
      <c r="BR18" s="27"/>
      <c r="BS18" s="27"/>
      <c r="BT18" s="27"/>
      <c r="BU18" s="27"/>
      <c r="BV18" s="27"/>
      <c r="BW18" s="27"/>
      <c r="BX18" s="27"/>
      <c r="BY18" s="27"/>
      <c r="BZ18" s="92"/>
      <c r="CA18" s="91"/>
      <c r="CB18" s="27"/>
      <c r="CC18" s="27"/>
      <c r="CD18" s="27"/>
      <c r="CE18" s="27"/>
      <c r="CF18" s="27"/>
      <c r="CG18" s="27"/>
      <c r="CH18" s="27"/>
      <c r="CI18" s="27"/>
      <c r="CJ18" s="27"/>
      <c r="CK18" s="27"/>
      <c r="CL18" s="27"/>
      <c r="CM18" s="27"/>
      <c r="CN18" s="27"/>
      <c r="CO18" s="27"/>
      <c r="CP18" s="27"/>
      <c r="CQ18" s="27"/>
      <c r="CR18" s="27"/>
      <c r="CS18" s="27"/>
      <c r="CT18" s="27"/>
      <c r="CU18" s="27"/>
      <c r="CV18" s="27"/>
      <c r="CW18" s="27"/>
      <c r="CX18" s="27"/>
      <c r="CY18" s="27"/>
      <c r="CZ18" s="27"/>
      <c r="DA18" s="27"/>
      <c r="DB18" s="27"/>
      <c r="DC18" s="27"/>
      <c r="DD18" s="27"/>
      <c r="DE18" s="92"/>
      <c r="DF18" s="91"/>
      <c r="DG18" s="27"/>
      <c r="DH18" s="27"/>
      <c r="DI18" s="27"/>
      <c r="DJ18" s="27"/>
      <c r="DK18" s="27"/>
      <c r="DL18" s="27"/>
      <c r="DM18" s="27"/>
      <c r="DN18" s="27"/>
      <c r="DO18" s="27"/>
      <c r="DP18" s="92"/>
    </row>
    <row r="19" spans="1:120" s="3" customFormat="1" ht="30" customHeight="1" thickBot="1" x14ac:dyDescent="0.4">
      <c r="A19" s="31"/>
      <c r="B19" s="50" t="s">
        <v>40</v>
      </c>
      <c r="C19" s="44"/>
      <c r="D19" s="19">
        <v>0</v>
      </c>
      <c r="E19" s="61">
        <f>F18</f>
        <v>45985</v>
      </c>
      <c r="F19" s="61">
        <f>E19+5</f>
        <v>45990</v>
      </c>
      <c r="G19" s="11"/>
      <c r="H19" s="11">
        <f t="shared" si="47"/>
        <v>6</v>
      </c>
      <c r="I19" s="91"/>
      <c r="J19" s="27"/>
      <c r="K19" s="27"/>
      <c r="L19" s="27"/>
      <c r="M19" s="27"/>
      <c r="N19" s="27"/>
      <c r="O19" s="27"/>
      <c r="P19" s="27"/>
      <c r="Q19" s="92"/>
      <c r="R19" s="91"/>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92"/>
      <c r="AW19" s="91"/>
      <c r="AX19" s="27"/>
      <c r="AY19" s="27"/>
      <c r="AZ19" s="27"/>
      <c r="BA19" s="27"/>
      <c r="BB19" s="27"/>
      <c r="BC19" s="27"/>
      <c r="BD19" s="27"/>
      <c r="BE19" s="27"/>
      <c r="BF19" s="86"/>
      <c r="BG19" s="104"/>
      <c r="BH19" s="82"/>
      <c r="BI19" s="27"/>
      <c r="BJ19" s="27"/>
      <c r="BK19" s="27"/>
      <c r="BL19" s="27"/>
      <c r="BM19" s="27"/>
      <c r="BN19" s="27"/>
      <c r="BO19" s="27"/>
      <c r="BP19" s="27"/>
      <c r="BQ19" s="27"/>
      <c r="BR19" s="27"/>
      <c r="BS19" s="27"/>
      <c r="BT19" s="27"/>
      <c r="BU19" s="27"/>
      <c r="BV19" s="27"/>
      <c r="BW19" s="27"/>
      <c r="BX19" s="27"/>
      <c r="BY19" s="27"/>
      <c r="BZ19" s="92"/>
      <c r="CA19" s="91"/>
      <c r="CB19" s="27"/>
      <c r="CC19" s="27"/>
      <c r="CD19" s="27"/>
      <c r="CE19" s="27"/>
      <c r="CF19" s="27"/>
      <c r="CG19" s="27"/>
      <c r="CH19" s="27"/>
      <c r="CI19" s="27"/>
      <c r="CJ19" s="27"/>
      <c r="CK19" s="27"/>
      <c r="CL19" s="27"/>
      <c r="CM19" s="27"/>
      <c r="CN19" s="27"/>
      <c r="CO19" s="27"/>
      <c r="CP19" s="27"/>
      <c r="CQ19" s="27"/>
      <c r="CR19" s="27"/>
      <c r="CS19" s="27"/>
      <c r="CT19" s="27"/>
      <c r="CU19" s="27"/>
      <c r="CV19" s="27"/>
      <c r="CW19" s="27"/>
      <c r="CX19" s="27"/>
      <c r="CY19" s="27"/>
      <c r="CZ19" s="27"/>
      <c r="DA19" s="27"/>
      <c r="DB19" s="27"/>
      <c r="DC19" s="27"/>
      <c r="DD19" s="27"/>
      <c r="DE19" s="92"/>
      <c r="DF19" s="91"/>
      <c r="DG19" s="27"/>
      <c r="DH19" s="27"/>
      <c r="DI19" s="27"/>
      <c r="DJ19" s="27"/>
      <c r="DK19" s="27"/>
      <c r="DL19" s="27"/>
      <c r="DM19" s="27"/>
      <c r="DN19" s="27"/>
      <c r="DO19" s="27"/>
      <c r="DP19" s="92"/>
    </row>
    <row r="20" spans="1:120" s="3" customFormat="1" ht="30" customHeight="1" thickBot="1" x14ac:dyDescent="0.4">
      <c r="A20" s="31"/>
      <c r="B20" s="50" t="s">
        <v>41</v>
      </c>
      <c r="C20" s="44"/>
      <c r="D20" s="19">
        <v>0</v>
      </c>
      <c r="E20" s="61">
        <f t="shared" ref="E20" si="48">F19</f>
        <v>45990</v>
      </c>
      <c r="F20" s="61">
        <f>E20+3</f>
        <v>45993</v>
      </c>
      <c r="G20" s="11"/>
      <c r="H20" s="11">
        <f t="shared" si="47"/>
        <v>4</v>
      </c>
      <c r="I20" s="91"/>
      <c r="J20" s="27"/>
      <c r="K20" s="27"/>
      <c r="L20" s="27"/>
      <c r="M20" s="27"/>
      <c r="N20" s="27"/>
      <c r="O20" s="27"/>
      <c r="P20" s="27"/>
      <c r="Q20" s="92"/>
      <c r="R20" s="91"/>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92"/>
      <c r="AW20" s="91"/>
      <c r="AX20" s="27"/>
      <c r="AY20" s="27"/>
      <c r="AZ20" s="27"/>
      <c r="BA20" s="27"/>
      <c r="BB20" s="27"/>
      <c r="BC20" s="27"/>
      <c r="BD20" s="27"/>
      <c r="BE20" s="27"/>
      <c r="BF20" s="86"/>
      <c r="BG20" s="104"/>
      <c r="BH20" s="82"/>
      <c r="BI20" s="27"/>
      <c r="BJ20" s="27"/>
      <c r="BK20" s="27"/>
      <c r="BL20" s="27"/>
      <c r="BM20" s="27"/>
      <c r="BN20" s="27"/>
      <c r="BO20" s="27"/>
      <c r="BP20" s="27"/>
      <c r="BQ20" s="27"/>
      <c r="BR20" s="27"/>
      <c r="BS20" s="27"/>
      <c r="BT20" s="27"/>
      <c r="BU20" s="27"/>
      <c r="BV20" s="27"/>
      <c r="BW20" s="27"/>
      <c r="BX20" s="27"/>
      <c r="BY20" s="27"/>
      <c r="BZ20" s="92"/>
      <c r="CA20" s="91"/>
      <c r="CB20" s="27"/>
      <c r="CC20" s="27"/>
      <c r="CD20" s="27"/>
      <c r="CE20" s="27"/>
      <c r="CF20" s="27"/>
      <c r="CG20" s="27"/>
      <c r="CH20" s="27"/>
      <c r="CI20" s="27"/>
      <c r="CJ20" s="27"/>
      <c r="CK20" s="27"/>
      <c r="CL20" s="27"/>
      <c r="CM20" s="27"/>
      <c r="CN20" s="27"/>
      <c r="CO20" s="27"/>
      <c r="CP20" s="27"/>
      <c r="CQ20" s="27"/>
      <c r="CR20" s="27"/>
      <c r="CS20" s="27"/>
      <c r="CT20" s="27"/>
      <c r="CU20" s="27"/>
      <c r="CV20" s="27"/>
      <c r="CW20" s="27"/>
      <c r="CX20" s="27"/>
      <c r="CY20" s="27"/>
      <c r="CZ20" s="27"/>
      <c r="DA20" s="27"/>
      <c r="DB20" s="27"/>
      <c r="DC20" s="27"/>
      <c r="DD20" s="27"/>
      <c r="DE20" s="92"/>
      <c r="DF20" s="91"/>
      <c r="DG20" s="27"/>
      <c r="DH20" s="27"/>
      <c r="DI20" s="27"/>
      <c r="DJ20" s="27"/>
      <c r="DK20" s="27"/>
      <c r="DL20" s="27"/>
      <c r="DM20" s="27"/>
      <c r="DN20" s="27"/>
      <c r="DO20" s="27"/>
      <c r="DP20" s="92"/>
    </row>
    <row r="21" spans="1:120" s="3" customFormat="1" ht="30" customHeight="1" thickBot="1" x14ac:dyDescent="0.4">
      <c r="A21" s="31"/>
      <c r="B21" s="50" t="s">
        <v>42</v>
      </c>
      <c r="C21" s="44"/>
      <c r="D21" s="19">
        <v>0</v>
      </c>
      <c r="E21" s="61">
        <f>F20</f>
        <v>45993</v>
      </c>
      <c r="F21" s="61">
        <f>E21+7</f>
        <v>46000</v>
      </c>
      <c r="G21" s="11"/>
      <c r="H21" s="11"/>
      <c r="I21" s="91"/>
      <c r="J21" s="27"/>
      <c r="K21" s="27"/>
      <c r="L21" s="27"/>
      <c r="M21" s="27"/>
      <c r="N21" s="27"/>
      <c r="O21" s="27"/>
      <c r="P21" s="27"/>
      <c r="Q21" s="92"/>
      <c r="R21" s="91"/>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92"/>
      <c r="AW21" s="91"/>
      <c r="AX21" s="27"/>
      <c r="AY21" s="27"/>
      <c r="AZ21" s="27"/>
      <c r="BA21" s="27"/>
      <c r="BB21" s="27"/>
      <c r="BC21" s="27"/>
      <c r="BD21" s="27"/>
      <c r="BE21" s="27"/>
      <c r="BF21" s="86"/>
      <c r="BG21" s="104"/>
      <c r="BH21" s="82"/>
      <c r="BI21" s="27"/>
      <c r="BJ21" s="27"/>
      <c r="BK21" s="27"/>
      <c r="BL21" s="27"/>
      <c r="BM21" s="27"/>
      <c r="BN21" s="27"/>
      <c r="BO21" s="27"/>
      <c r="BP21" s="27"/>
      <c r="BQ21" s="27"/>
      <c r="BR21" s="27"/>
      <c r="BS21" s="27"/>
      <c r="BT21" s="27"/>
      <c r="BU21" s="27"/>
      <c r="BV21" s="27"/>
      <c r="BW21" s="27"/>
      <c r="BX21" s="27"/>
      <c r="BY21" s="27"/>
      <c r="BZ21" s="92"/>
      <c r="CA21" s="91"/>
      <c r="CB21" s="27"/>
      <c r="CC21" s="27"/>
      <c r="CD21" s="27"/>
      <c r="CE21" s="27"/>
      <c r="CF21" s="27"/>
      <c r="CG21" s="27"/>
      <c r="CH21" s="27"/>
      <c r="CI21" s="27"/>
      <c r="CJ21" s="27"/>
      <c r="CK21" s="27"/>
      <c r="CL21" s="27"/>
      <c r="CM21" s="27"/>
      <c r="CN21" s="27"/>
      <c r="CO21" s="27"/>
      <c r="CP21" s="27"/>
      <c r="CQ21" s="27"/>
      <c r="CR21" s="27"/>
      <c r="CS21" s="27"/>
      <c r="CT21" s="27"/>
      <c r="CU21" s="27"/>
      <c r="CV21" s="27"/>
      <c r="CW21" s="27"/>
      <c r="CX21" s="27"/>
      <c r="CY21" s="27"/>
      <c r="CZ21" s="27"/>
      <c r="DA21" s="27"/>
      <c r="DB21" s="27"/>
      <c r="DC21" s="27"/>
      <c r="DD21" s="27"/>
      <c r="DE21" s="92"/>
      <c r="DF21" s="91"/>
      <c r="DG21" s="27"/>
      <c r="DH21" s="27"/>
      <c r="DI21" s="27"/>
      <c r="DJ21" s="27"/>
      <c r="DK21" s="27"/>
      <c r="DL21" s="27"/>
      <c r="DM21" s="27"/>
      <c r="DN21" s="27"/>
      <c r="DO21" s="27"/>
      <c r="DP21" s="92"/>
    </row>
    <row r="22" spans="1:120" s="3" customFormat="1" ht="30" customHeight="1" thickBot="1" x14ac:dyDescent="0.4">
      <c r="A22" s="31"/>
      <c r="B22" s="50" t="s">
        <v>43</v>
      </c>
      <c r="C22" s="44"/>
      <c r="D22" s="19">
        <v>0</v>
      </c>
      <c r="E22" s="61">
        <f>F21+1</f>
        <v>46001</v>
      </c>
      <c r="F22" s="61">
        <f>E22+6</f>
        <v>46007</v>
      </c>
      <c r="G22" s="11"/>
      <c r="H22" s="11">
        <f t="shared" si="47"/>
        <v>7</v>
      </c>
      <c r="I22" s="91"/>
      <c r="J22" s="27"/>
      <c r="K22" s="27"/>
      <c r="L22" s="27"/>
      <c r="M22" s="27"/>
      <c r="N22" s="27"/>
      <c r="O22" s="27"/>
      <c r="P22" s="27"/>
      <c r="Q22" s="92"/>
      <c r="R22" s="91"/>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92"/>
      <c r="AW22" s="91"/>
      <c r="AX22" s="27"/>
      <c r="AY22" s="27"/>
      <c r="AZ22" s="27"/>
      <c r="BA22" s="27"/>
      <c r="BB22" s="27"/>
      <c r="BC22" s="27"/>
      <c r="BD22" s="27"/>
      <c r="BE22" s="27"/>
      <c r="BF22" s="86"/>
      <c r="BG22" s="104"/>
      <c r="BH22" s="82"/>
      <c r="BI22" s="27"/>
      <c r="BJ22" s="27"/>
      <c r="BK22" s="27"/>
      <c r="BL22" s="27"/>
      <c r="BM22" s="27"/>
      <c r="BN22" s="27"/>
      <c r="BO22" s="27"/>
      <c r="BP22" s="27"/>
      <c r="BQ22" s="27"/>
      <c r="BR22" s="27"/>
      <c r="BS22" s="27"/>
      <c r="BT22" s="27"/>
      <c r="BU22" s="27"/>
      <c r="BV22" s="27"/>
      <c r="BW22" s="27"/>
      <c r="BX22" s="27"/>
      <c r="BY22" s="27"/>
      <c r="BZ22" s="92"/>
      <c r="CA22" s="91"/>
      <c r="CB22" s="27"/>
      <c r="CC22" s="27"/>
      <c r="CD22" s="27"/>
      <c r="CE22" s="27"/>
      <c r="CF22" s="27"/>
      <c r="CG22" s="27"/>
      <c r="CH22" s="27"/>
      <c r="CI22" s="27"/>
      <c r="CJ22" s="27"/>
      <c r="CK22" s="27"/>
      <c r="CL22" s="27"/>
      <c r="CM22" s="27"/>
      <c r="CN22" s="27"/>
      <c r="CO22" s="27"/>
      <c r="CP22" s="27"/>
      <c r="CQ22" s="27"/>
      <c r="CR22" s="27"/>
      <c r="CS22" s="27"/>
      <c r="CT22" s="27"/>
      <c r="CU22" s="27"/>
      <c r="CV22" s="27"/>
      <c r="CW22" s="27"/>
      <c r="CX22" s="27"/>
      <c r="CY22" s="27"/>
      <c r="CZ22" s="27"/>
      <c r="DA22" s="27"/>
      <c r="DB22" s="27"/>
      <c r="DC22" s="27"/>
      <c r="DD22" s="27"/>
      <c r="DE22" s="92"/>
      <c r="DF22" s="91"/>
      <c r="DG22" s="27"/>
      <c r="DH22" s="27"/>
      <c r="DI22" s="27"/>
      <c r="DJ22" s="27"/>
      <c r="DK22" s="27"/>
      <c r="DL22" s="27"/>
      <c r="DM22" s="27"/>
      <c r="DN22" s="27"/>
      <c r="DO22" s="27"/>
      <c r="DP22" s="92"/>
    </row>
    <row r="23" spans="1:120" s="3" customFormat="1" ht="30" customHeight="1" thickBot="1" x14ac:dyDescent="0.4">
      <c r="A23" s="31" t="s">
        <v>11</v>
      </c>
      <c r="B23" s="20" t="s">
        <v>44</v>
      </c>
      <c r="C23" s="45"/>
      <c r="D23" s="21"/>
      <c r="E23" s="62"/>
      <c r="F23" s="63"/>
      <c r="G23" s="11"/>
      <c r="H23" s="11" t="str">
        <f t="shared" si="47"/>
        <v/>
      </c>
      <c r="I23" s="91"/>
      <c r="J23" s="27"/>
      <c r="K23" s="27"/>
      <c r="L23" s="27"/>
      <c r="M23" s="27"/>
      <c r="N23" s="27"/>
      <c r="O23" s="27"/>
      <c r="P23" s="27"/>
      <c r="Q23" s="92"/>
      <c r="R23" s="91"/>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92"/>
      <c r="AW23" s="91"/>
      <c r="AX23" s="27"/>
      <c r="AY23" s="27"/>
      <c r="AZ23" s="27"/>
      <c r="BA23" s="27"/>
      <c r="BB23" s="27"/>
      <c r="BC23" s="27"/>
      <c r="BD23" s="27"/>
      <c r="BE23" s="27"/>
      <c r="BF23" s="86"/>
      <c r="BG23" s="104"/>
      <c r="BH23" s="82"/>
      <c r="BI23" s="27"/>
      <c r="BJ23" s="27"/>
      <c r="BK23" s="27"/>
      <c r="BL23" s="27"/>
      <c r="BM23" s="27"/>
      <c r="BN23" s="27"/>
      <c r="BO23" s="27"/>
      <c r="BP23" s="27"/>
      <c r="BQ23" s="27"/>
      <c r="BR23" s="27"/>
      <c r="BS23" s="27"/>
      <c r="BT23" s="27"/>
      <c r="BU23" s="27"/>
      <c r="BV23" s="27"/>
      <c r="BW23" s="27"/>
      <c r="BX23" s="27"/>
      <c r="BY23" s="27"/>
      <c r="BZ23" s="92"/>
      <c r="CA23" s="91"/>
      <c r="CB23" s="27"/>
      <c r="CC23" s="27"/>
      <c r="CD23" s="27"/>
      <c r="CE23" s="27"/>
      <c r="CF23" s="27"/>
      <c r="CG23" s="27"/>
      <c r="CH23" s="27"/>
      <c r="CI23" s="27"/>
      <c r="CJ23" s="27"/>
      <c r="CK23" s="27"/>
      <c r="CL23" s="27"/>
      <c r="CM23" s="27"/>
      <c r="CN23" s="27"/>
      <c r="CO23" s="27"/>
      <c r="CP23" s="27"/>
      <c r="CQ23" s="114"/>
      <c r="CR23" s="115"/>
      <c r="CS23" s="115"/>
      <c r="CT23" s="115"/>
      <c r="CU23" s="115"/>
      <c r="CV23" s="115"/>
      <c r="CW23" s="115"/>
      <c r="CX23" s="115"/>
      <c r="CY23" s="115"/>
      <c r="CZ23" s="115"/>
      <c r="DA23" s="115"/>
      <c r="DB23" s="115"/>
      <c r="DC23" s="115"/>
      <c r="DD23" s="115"/>
      <c r="DE23" s="115"/>
      <c r="DF23" s="115"/>
      <c r="DG23" s="115"/>
      <c r="DH23" s="115"/>
      <c r="DI23" s="115"/>
      <c r="DJ23" s="116"/>
      <c r="DK23" s="27"/>
      <c r="DL23" s="27"/>
      <c r="DM23" s="27"/>
      <c r="DN23" s="27"/>
      <c r="DO23" s="27"/>
      <c r="DP23" s="92"/>
    </row>
    <row r="24" spans="1:120" s="3" customFormat="1" ht="30" customHeight="1" thickBot="1" x14ac:dyDescent="0.4">
      <c r="A24" s="31"/>
      <c r="B24" s="51" t="s">
        <v>45</v>
      </c>
      <c r="C24" s="46"/>
      <c r="D24" s="22">
        <v>0</v>
      </c>
      <c r="E24" s="64">
        <f>F22+21</f>
        <v>46028</v>
      </c>
      <c r="F24" s="64">
        <f>E24</f>
        <v>46028</v>
      </c>
      <c r="G24" s="11"/>
      <c r="H24" s="11">
        <f t="shared" si="47"/>
        <v>1</v>
      </c>
      <c r="I24" s="91"/>
      <c r="J24" s="27"/>
      <c r="K24" s="27"/>
      <c r="L24" s="27"/>
      <c r="M24" s="27"/>
      <c r="N24" s="27"/>
      <c r="O24" s="27"/>
      <c r="P24" s="27"/>
      <c r="Q24" s="92"/>
      <c r="R24" s="91"/>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92"/>
      <c r="AW24" s="91"/>
      <c r="AX24" s="27"/>
      <c r="AY24" s="27"/>
      <c r="AZ24" s="27"/>
      <c r="BA24" s="27"/>
      <c r="BB24" s="27"/>
      <c r="BC24" s="27"/>
      <c r="BD24" s="27"/>
      <c r="BE24" s="27"/>
      <c r="BF24" s="86"/>
      <c r="BG24" s="104"/>
      <c r="BH24" s="82"/>
      <c r="BI24" s="27"/>
      <c r="BJ24" s="27"/>
      <c r="BK24" s="27"/>
      <c r="BL24" s="27"/>
      <c r="BM24" s="27"/>
      <c r="BN24" s="27"/>
      <c r="BO24" s="27"/>
      <c r="BP24" s="27"/>
      <c r="BQ24" s="27"/>
      <c r="BR24" s="27"/>
      <c r="BS24" s="27"/>
      <c r="BT24" s="27"/>
      <c r="BU24" s="27"/>
      <c r="BV24" s="27"/>
      <c r="BW24" s="27"/>
      <c r="BX24" s="27"/>
      <c r="BY24" s="27"/>
      <c r="BZ24" s="92"/>
      <c r="CA24" s="91"/>
      <c r="CB24" s="27"/>
      <c r="CC24" s="27"/>
      <c r="CD24" s="27"/>
      <c r="CE24" s="27"/>
      <c r="CF24" s="27"/>
      <c r="CG24" s="27"/>
      <c r="CH24" s="27"/>
      <c r="CI24" s="27"/>
      <c r="CJ24" s="27"/>
      <c r="CK24" s="27"/>
      <c r="CL24" s="27"/>
      <c r="CM24" s="27"/>
      <c r="CN24" s="27"/>
      <c r="CO24" s="27"/>
      <c r="CP24" s="27"/>
      <c r="CQ24" s="27"/>
      <c r="CR24" s="27"/>
      <c r="CS24" s="27"/>
      <c r="CT24" s="27"/>
      <c r="CU24" s="27"/>
      <c r="CV24" s="27"/>
      <c r="CW24" s="27"/>
      <c r="CX24" s="27"/>
      <c r="CY24" s="27"/>
      <c r="CZ24" s="27"/>
      <c r="DA24" s="27"/>
      <c r="DB24" s="27"/>
      <c r="DC24" s="27"/>
      <c r="DD24" s="27"/>
      <c r="DE24" s="92"/>
      <c r="DF24" s="91"/>
      <c r="DG24" s="27"/>
      <c r="DH24" s="27"/>
      <c r="DI24" s="27"/>
      <c r="DJ24" s="27"/>
      <c r="DK24" s="27"/>
      <c r="DL24" s="27"/>
      <c r="DM24" s="27"/>
      <c r="DN24" s="27"/>
      <c r="DO24" s="27"/>
      <c r="DP24" s="92"/>
    </row>
    <row r="25" spans="1:120" s="3" customFormat="1" ht="30" customHeight="1" thickBot="1" x14ac:dyDescent="0.4">
      <c r="A25" s="31"/>
      <c r="B25" s="51" t="s">
        <v>45</v>
      </c>
      <c r="C25" s="46"/>
      <c r="D25" s="22">
        <v>0</v>
      </c>
      <c r="E25" s="64">
        <f>F24+1</f>
        <v>46029</v>
      </c>
      <c r="F25" s="64">
        <f t="shared" ref="F25:F27" si="49">E25</f>
        <v>46029</v>
      </c>
      <c r="G25" s="11"/>
      <c r="H25" s="11">
        <f t="shared" si="47"/>
        <v>1</v>
      </c>
      <c r="I25" s="91"/>
      <c r="J25" s="27"/>
      <c r="K25" s="27"/>
      <c r="L25" s="27"/>
      <c r="M25" s="27"/>
      <c r="N25" s="27"/>
      <c r="O25" s="27"/>
      <c r="P25" s="27"/>
      <c r="Q25" s="92"/>
      <c r="R25" s="91"/>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92"/>
      <c r="AW25" s="91"/>
      <c r="AX25" s="27"/>
      <c r="AY25" s="27"/>
      <c r="AZ25" s="27"/>
      <c r="BA25" s="27"/>
      <c r="BB25" s="27"/>
      <c r="BC25" s="27"/>
      <c r="BD25" s="27"/>
      <c r="BE25" s="27"/>
      <c r="BF25" s="86"/>
      <c r="BG25" s="104"/>
      <c r="BH25" s="82"/>
      <c r="BI25" s="27"/>
      <c r="BJ25" s="27"/>
      <c r="BK25" s="27"/>
      <c r="BL25" s="27"/>
      <c r="BM25" s="27"/>
      <c r="BN25" s="27"/>
      <c r="BO25" s="27"/>
      <c r="BP25" s="27"/>
      <c r="BQ25" s="27"/>
      <c r="BR25" s="27"/>
      <c r="BS25" s="27"/>
      <c r="BT25" s="27"/>
      <c r="BU25" s="27"/>
      <c r="BV25" s="27"/>
      <c r="BW25" s="27"/>
      <c r="BX25" s="27"/>
      <c r="BY25" s="27"/>
      <c r="BZ25" s="92"/>
      <c r="CA25" s="91"/>
      <c r="CB25" s="27"/>
      <c r="CC25" s="27"/>
      <c r="CD25" s="27"/>
      <c r="CE25" s="27"/>
      <c r="CF25" s="27"/>
      <c r="CG25" s="27"/>
      <c r="CH25" s="27"/>
      <c r="CI25" s="27"/>
      <c r="CJ25" s="27"/>
      <c r="CK25" s="27"/>
      <c r="CL25" s="27"/>
      <c r="CM25" s="27"/>
      <c r="CN25" s="27"/>
      <c r="CO25" s="27"/>
      <c r="CP25" s="27"/>
      <c r="CQ25" s="27"/>
      <c r="CR25" s="27"/>
      <c r="CS25" s="27"/>
      <c r="CT25" s="27"/>
      <c r="CU25" s="27"/>
      <c r="CV25" s="27"/>
      <c r="CW25" s="27"/>
      <c r="CX25" s="27"/>
      <c r="CY25" s="27"/>
      <c r="CZ25" s="27"/>
      <c r="DA25" s="27"/>
      <c r="DB25" s="27"/>
      <c r="DC25" s="27"/>
      <c r="DD25" s="27"/>
      <c r="DE25" s="92"/>
      <c r="DF25" s="91"/>
      <c r="DG25" s="27"/>
      <c r="DH25" s="27"/>
      <c r="DI25" s="27"/>
      <c r="DJ25" s="27"/>
      <c r="DK25" s="27"/>
      <c r="DL25" s="27"/>
      <c r="DM25" s="27"/>
      <c r="DN25" s="27"/>
      <c r="DO25" s="27"/>
      <c r="DP25" s="92"/>
    </row>
    <row r="26" spans="1:120" s="3" customFormat="1" ht="30" customHeight="1" thickBot="1" x14ac:dyDescent="0.4">
      <c r="A26" s="31"/>
      <c r="B26" s="51" t="s">
        <v>46</v>
      </c>
      <c r="C26" s="46"/>
      <c r="D26" s="22">
        <v>0</v>
      </c>
      <c r="E26" s="64">
        <f t="shared" ref="E26:E27" si="50">F25+1</f>
        <v>46030</v>
      </c>
      <c r="F26" s="64">
        <f t="shared" si="49"/>
        <v>46030</v>
      </c>
      <c r="G26" s="11"/>
      <c r="H26" s="11">
        <f t="shared" si="47"/>
        <v>1</v>
      </c>
      <c r="I26" s="91"/>
      <c r="J26" s="27"/>
      <c r="K26" s="27"/>
      <c r="L26" s="27"/>
      <c r="M26" s="27"/>
      <c r="N26" s="27"/>
      <c r="O26" s="27"/>
      <c r="P26" s="27"/>
      <c r="Q26" s="92"/>
      <c r="R26" s="91"/>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92"/>
      <c r="AW26" s="91"/>
      <c r="AX26" s="27"/>
      <c r="AY26" s="27"/>
      <c r="AZ26" s="27"/>
      <c r="BA26" s="27"/>
      <c r="BB26" s="27"/>
      <c r="BC26" s="27"/>
      <c r="BD26" s="27"/>
      <c r="BE26" s="27"/>
      <c r="BF26" s="86"/>
      <c r="BG26" s="104"/>
      <c r="BH26" s="82"/>
      <c r="BI26" s="27"/>
      <c r="BJ26" s="27"/>
      <c r="BK26" s="27"/>
      <c r="BL26" s="27"/>
      <c r="BM26" s="27"/>
      <c r="BN26" s="27"/>
      <c r="BO26" s="27"/>
      <c r="BP26" s="27"/>
      <c r="BQ26" s="27"/>
      <c r="BR26" s="27"/>
      <c r="BS26" s="27"/>
      <c r="BT26" s="27"/>
      <c r="BU26" s="27"/>
      <c r="BV26" s="27"/>
      <c r="BW26" s="27"/>
      <c r="BX26" s="27"/>
      <c r="BY26" s="27"/>
      <c r="BZ26" s="92"/>
      <c r="CA26" s="91"/>
      <c r="CB26" s="27"/>
      <c r="CC26" s="27"/>
      <c r="CD26" s="27"/>
      <c r="CE26" s="27"/>
      <c r="CF26" s="27"/>
      <c r="CG26" s="27"/>
      <c r="CH26" s="27"/>
      <c r="CI26" s="27"/>
      <c r="CJ26" s="27"/>
      <c r="CK26" s="27"/>
      <c r="CL26" s="27"/>
      <c r="CM26" s="27"/>
      <c r="CN26" s="27"/>
      <c r="CO26" s="27"/>
      <c r="CP26" s="27"/>
      <c r="CQ26" s="27"/>
      <c r="CR26" s="27"/>
      <c r="CS26" s="27"/>
      <c r="CT26" s="27"/>
      <c r="CU26" s="27"/>
      <c r="CV26" s="27"/>
      <c r="CW26" s="27"/>
      <c r="CX26" s="27"/>
      <c r="CY26" s="27"/>
      <c r="CZ26" s="27"/>
      <c r="DA26" s="27"/>
      <c r="DB26" s="27"/>
      <c r="DC26" s="27"/>
      <c r="DD26" s="27"/>
      <c r="DE26" s="92"/>
      <c r="DF26" s="91"/>
      <c r="DG26" s="27"/>
      <c r="DH26" s="27"/>
      <c r="DI26" s="27"/>
      <c r="DJ26" s="27"/>
      <c r="DK26" s="27"/>
      <c r="DL26" s="27"/>
      <c r="DM26" s="27"/>
      <c r="DN26" s="27"/>
      <c r="DO26" s="27"/>
      <c r="DP26" s="92"/>
    </row>
    <row r="27" spans="1:120" s="3" customFormat="1" ht="30" customHeight="1" thickBot="1" x14ac:dyDescent="0.4">
      <c r="A27" s="31"/>
      <c r="B27" s="51" t="s">
        <v>47</v>
      </c>
      <c r="C27" s="46"/>
      <c r="D27" s="22">
        <v>0</v>
      </c>
      <c r="E27" s="64">
        <f t="shared" si="50"/>
        <v>46031</v>
      </c>
      <c r="F27" s="64">
        <f t="shared" si="49"/>
        <v>46031</v>
      </c>
      <c r="G27" s="11"/>
      <c r="H27" s="11">
        <f t="shared" si="47"/>
        <v>1</v>
      </c>
      <c r="I27" s="93"/>
      <c r="J27" s="94"/>
      <c r="K27" s="94"/>
      <c r="L27" s="94"/>
      <c r="M27" s="94"/>
      <c r="N27" s="94"/>
      <c r="O27" s="94"/>
      <c r="P27" s="94"/>
      <c r="Q27" s="95"/>
      <c r="R27" s="93"/>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5"/>
      <c r="AW27" s="93"/>
      <c r="AX27" s="94"/>
      <c r="AY27" s="94"/>
      <c r="AZ27" s="94"/>
      <c r="BA27" s="94"/>
      <c r="BB27" s="94"/>
      <c r="BC27" s="94"/>
      <c r="BD27" s="94"/>
      <c r="BE27" s="94"/>
      <c r="BF27" s="96"/>
      <c r="BG27" s="105"/>
      <c r="BH27" s="99"/>
      <c r="BI27" s="94"/>
      <c r="BJ27" s="94"/>
      <c r="BK27" s="94"/>
      <c r="BL27" s="94"/>
      <c r="BM27" s="94"/>
      <c r="BN27" s="94"/>
      <c r="BO27" s="94"/>
      <c r="BP27" s="94"/>
      <c r="BQ27" s="94"/>
      <c r="BR27" s="94"/>
      <c r="BS27" s="94"/>
      <c r="BT27" s="94"/>
      <c r="BU27" s="94"/>
      <c r="BV27" s="94"/>
      <c r="BW27" s="94"/>
      <c r="BX27" s="94"/>
      <c r="BY27" s="94"/>
      <c r="BZ27" s="95"/>
      <c r="CA27" s="93"/>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5"/>
      <c r="DF27" s="93"/>
      <c r="DG27" s="94"/>
      <c r="DH27" s="94"/>
      <c r="DI27" s="94"/>
      <c r="DJ27" s="94"/>
      <c r="DK27" s="94"/>
      <c r="DL27" s="94"/>
      <c r="DM27" s="94"/>
      <c r="DN27" s="94"/>
      <c r="DO27" s="94"/>
      <c r="DP27" s="95"/>
    </row>
    <row r="28" spans="1:120" s="3" customFormat="1" ht="30" customHeight="1" thickBot="1" x14ac:dyDescent="0.4">
      <c r="A28" s="31" t="s">
        <v>12</v>
      </c>
      <c r="B28" s="52"/>
      <c r="C28" s="47"/>
      <c r="D28" s="10"/>
      <c r="E28" s="65"/>
      <c r="F28" s="65"/>
      <c r="G28" s="11"/>
      <c r="H28" s="11" t="str">
        <f t="shared" si="47"/>
        <v/>
      </c>
      <c r="I28" s="83"/>
      <c r="J28" s="83"/>
      <c r="K28" s="83"/>
      <c r="L28" s="83"/>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83"/>
      <c r="AZ28" s="83"/>
      <c r="BA28" s="83"/>
      <c r="BB28" s="83"/>
      <c r="BC28" s="83"/>
      <c r="BD28" s="83"/>
      <c r="BE28" s="83"/>
      <c r="BF28" s="97"/>
      <c r="BG28" s="106"/>
      <c r="BH28" s="100"/>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row>
    <row r="29" spans="1:120" s="3" customFormat="1" ht="30" customHeight="1" thickBot="1" x14ac:dyDescent="0.4">
      <c r="A29" s="32" t="s">
        <v>13</v>
      </c>
      <c r="B29" s="23" t="s">
        <v>18</v>
      </c>
      <c r="C29" s="24"/>
      <c r="D29" s="25"/>
      <c r="E29" s="66"/>
      <c r="F29" s="67"/>
      <c r="G29" s="26"/>
      <c r="H29" s="26" t="str">
        <f t="shared" si="47"/>
        <v/>
      </c>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98"/>
      <c r="BG29" s="107"/>
      <c r="BH29" s="101"/>
      <c r="BI29" s="29"/>
      <c r="BJ29" s="29"/>
      <c r="BK29" s="29"/>
      <c r="BL29" s="29"/>
      <c r="BM29" s="29"/>
      <c r="BN29" s="29"/>
      <c r="BO29" s="29"/>
      <c r="BP29" s="29"/>
      <c r="BQ29" s="29"/>
      <c r="BR29" s="29"/>
      <c r="BS29" s="29"/>
      <c r="BT29" s="29"/>
      <c r="BU29" s="29"/>
      <c r="BV29" s="29"/>
      <c r="BW29" s="29"/>
      <c r="BX29" s="29"/>
      <c r="BY29" s="29"/>
      <c r="BZ29" s="29"/>
      <c r="CA29" s="29"/>
      <c r="CB29" s="29"/>
      <c r="CC29" s="29"/>
      <c r="CD29" s="29"/>
      <c r="CE29" s="29"/>
      <c r="CF29" s="29"/>
      <c r="CG29" s="29"/>
      <c r="CH29" s="29"/>
      <c r="CI29" s="29"/>
      <c r="CJ29" s="29"/>
      <c r="CK29" s="29"/>
      <c r="CL29" s="29"/>
      <c r="CM29" s="29"/>
      <c r="CN29" s="29"/>
      <c r="CO29" s="29"/>
      <c r="CP29" s="29"/>
      <c r="CQ29" s="29"/>
      <c r="CR29" s="29"/>
      <c r="CS29" s="29"/>
      <c r="CT29" s="29"/>
      <c r="CU29" s="29"/>
      <c r="CV29" s="29"/>
      <c r="CW29" s="29"/>
      <c r="CX29" s="29"/>
      <c r="CY29" s="29"/>
      <c r="CZ29" s="29"/>
      <c r="DA29" s="29"/>
      <c r="DB29" s="29"/>
      <c r="DC29" s="29"/>
      <c r="DD29" s="29"/>
      <c r="DE29" s="29"/>
      <c r="DF29" s="29"/>
      <c r="DG29" s="29"/>
      <c r="DH29" s="29"/>
      <c r="DI29" s="29"/>
      <c r="DJ29" s="29"/>
      <c r="DK29" s="29"/>
      <c r="DL29" s="29"/>
      <c r="DM29" s="29"/>
      <c r="DN29" s="29"/>
      <c r="DO29" s="29"/>
      <c r="DP29" s="29"/>
    </row>
    <row r="30" spans="1:120" ht="30" customHeight="1" x14ac:dyDescent="0.35">
      <c r="G30" s="6"/>
    </row>
    <row r="31" spans="1:120" ht="30" customHeight="1" x14ac:dyDescent="0.35">
      <c r="C31" s="8"/>
      <c r="F31" s="33"/>
    </row>
    <row r="32" spans="1:120" ht="30" customHeight="1" x14ac:dyDescent="0.35">
      <c r="C32" s="9"/>
    </row>
  </sheetData>
  <mergeCells count="10">
    <mergeCell ref="CA4:DE4"/>
    <mergeCell ref="DF4:DP4"/>
    <mergeCell ref="CQ23:DJ23"/>
    <mergeCell ref="E3:F3"/>
    <mergeCell ref="I4:Q4"/>
    <mergeCell ref="R4:AV4"/>
    <mergeCell ref="AW4:BZ4"/>
    <mergeCell ref="C3:D3"/>
    <mergeCell ref="C4:D4"/>
    <mergeCell ref="B5:G5"/>
  </mergeCells>
  <conditionalFormatting sqref="D7:D29">
    <cfRule type="dataBar" priority="38">
      <dataBar>
        <cfvo type="num" val="0"/>
        <cfvo type="num" val="1"/>
        <color rgb="FF00B050"/>
      </dataBar>
      <extLst>
        <ext xmlns:x14="http://schemas.microsoft.com/office/spreadsheetml/2009/9/main" uri="{B025F937-C7B1-47D3-B67F-A62EFF666E3E}">
          <x14:id>{B0389232-4C98-4A03-AD0E-39F63BAD1F53}</x14:id>
        </ext>
      </extLst>
    </cfRule>
  </conditionalFormatting>
  <conditionalFormatting sqref="I5:BL29">
    <cfRule type="expression" dxfId="26" priority="57">
      <formula>AND(TODAY()&gt;=I$5,TODAY()&lt;J$5)</formula>
    </cfRule>
  </conditionalFormatting>
  <conditionalFormatting sqref="I7:BL29">
    <cfRule type="expression" dxfId="25" priority="51">
      <formula>AND(Fecha_incio&lt;=I$5,ROUNDDOWN((Fecha_final-Fecha_incio+1)*Progresos,0)+Fecha_incio-1&gt;=I$5)</formula>
    </cfRule>
    <cfRule type="expression" dxfId="24" priority="52" stopIfTrue="1">
      <formula>AND(Fecha_final&gt;=I$5,Fecha_incio&lt;J$5)</formula>
    </cfRule>
  </conditionalFormatting>
  <conditionalFormatting sqref="BM5:BS29">
    <cfRule type="expression" dxfId="23" priority="24">
      <formula>AND(TODAY()&gt;=BM$5,TODAY()&lt;BN$5)</formula>
    </cfRule>
  </conditionalFormatting>
  <conditionalFormatting sqref="BM7:BS29">
    <cfRule type="expression" dxfId="22" priority="22">
      <formula>AND(Fecha_incio&lt;=BM$5,ROUNDDOWN((Fecha_final-Fecha_incio+1)*Progresos,0)+Fecha_incio-1&gt;=BM$5)</formula>
    </cfRule>
    <cfRule type="expression" dxfId="21" priority="23" stopIfTrue="1">
      <formula>AND(Fecha_final&gt;=BM$5,Fecha_incio&lt;BN$5)</formula>
    </cfRule>
  </conditionalFormatting>
  <conditionalFormatting sqref="BT5:BZ29">
    <cfRule type="expression" dxfId="20" priority="21">
      <formula>AND(TODAY()&gt;=BT$5,TODAY()&lt;BU$5)</formula>
    </cfRule>
  </conditionalFormatting>
  <conditionalFormatting sqref="BT7:BZ29">
    <cfRule type="expression" dxfId="19" priority="19">
      <formula>AND(Fecha_incio&lt;=BT$5,ROUNDDOWN((Fecha_final-Fecha_incio+1)*Progresos,0)+Fecha_incio-1&gt;=BT$5)</formula>
    </cfRule>
    <cfRule type="expression" dxfId="18" priority="20" stopIfTrue="1">
      <formula>AND(Fecha_final&gt;=BT$5,Fecha_incio&lt;BU$5)</formula>
    </cfRule>
  </conditionalFormatting>
  <conditionalFormatting sqref="CA5:CG29">
    <cfRule type="expression" dxfId="17" priority="18">
      <formula>AND(TODAY()&gt;=CA$5,TODAY()&lt;CB$5)</formula>
    </cfRule>
  </conditionalFormatting>
  <conditionalFormatting sqref="CA7:CG29">
    <cfRule type="expression" dxfId="16" priority="16">
      <formula>AND(Fecha_incio&lt;=CA$5,ROUNDDOWN((Fecha_final-Fecha_incio+1)*Progresos,0)+Fecha_incio-1&gt;=CA$5)</formula>
    </cfRule>
    <cfRule type="expression" dxfId="15" priority="17" stopIfTrue="1">
      <formula>AND(Fecha_final&gt;=CA$5,Fecha_incio&lt;CB$5)</formula>
    </cfRule>
  </conditionalFormatting>
  <conditionalFormatting sqref="CH5:CN29">
    <cfRule type="expression" dxfId="14" priority="15">
      <formula>AND(TODAY()&gt;=CH$5,TODAY()&lt;CI$5)</formula>
    </cfRule>
  </conditionalFormatting>
  <conditionalFormatting sqref="CH7:CN29">
    <cfRule type="expression" dxfId="13" priority="13">
      <formula>AND(Fecha_incio&lt;=CH$5,ROUNDDOWN((Fecha_final-Fecha_incio+1)*Progresos,0)+Fecha_incio-1&gt;=CH$5)</formula>
    </cfRule>
    <cfRule type="expression" dxfId="12" priority="14" stopIfTrue="1">
      <formula>AND(Fecha_final&gt;=CH$5,Fecha_incio&lt;CI$5)</formula>
    </cfRule>
  </conditionalFormatting>
  <conditionalFormatting sqref="CO5:CU22 CO24:CU29 CO23:CQ23">
    <cfRule type="expression" dxfId="11" priority="12">
      <formula>AND(TODAY()&gt;=CO$5,TODAY()&lt;CP$5)</formula>
    </cfRule>
  </conditionalFormatting>
  <conditionalFormatting sqref="CO7:CU22 CO24:CU29 CO23:CQ23">
    <cfRule type="expression" dxfId="10" priority="10">
      <formula>AND(Fecha_incio&lt;=CO$5,ROUNDDOWN((Fecha_final-Fecha_incio+1)*Progresos,0)+Fecha_incio-1&gt;=CO$5)</formula>
    </cfRule>
    <cfRule type="expression" dxfId="9" priority="11" stopIfTrue="1">
      <formula>AND(Fecha_final&gt;=CO$5,Fecha_incio&lt;CP$5)</formula>
    </cfRule>
  </conditionalFormatting>
  <conditionalFormatting sqref="CV5:DB22 CV24:DB29">
    <cfRule type="expression" dxfId="8" priority="9">
      <formula>AND(TODAY()&gt;=CV$5,TODAY()&lt;CW$5)</formula>
    </cfRule>
  </conditionalFormatting>
  <conditionalFormatting sqref="CV7:DB22 CV24:DB29">
    <cfRule type="expression" dxfId="7" priority="7">
      <formula>AND(Fecha_incio&lt;=CV$5,ROUNDDOWN((Fecha_final-Fecha_incio+1)*Progresos,0)+Fecha_incio-1&gt;=CV$5)</formula>
    </cfRule>
    <cfRule type="expression" dxfId="6" priority="8" stopIfTrue="1">
      <formula>AND(Fecha_final&gt;=CV$5,Fecha_incio&lt;CW$5)</formula>
    </cfRule>
  </conditionalFormatting>
  <conditionalFormatting sqref="DC5:DI22 DC24:DI29">
    <cfRule type="expression" dxfId="5" priority="6">
      <formula>AND(TODAY()&gt;=DC$5,TODAY()&lt;DD$5)</formula>
    </cfRule>
  </conditionalFormatting>
  <conditionalFormatting sqref="DC7:DI22 DC24:DI29">
    <cfRule type="expression" dxfId="4" priority="4">
      <formula>AND(Fecha_incio&lt;=DC$5,ROUNDDOWN((Fecha_final-Fecha_incio+1)*Progresos,0)+Fecha_incio-1&gt;=DC$5)</formula>
    </cfRule>
    <cfRule type="expression" dxfId="3" priority="5" stopIfTrue="1">
      <formula>AND(Fecha_final&gt;=DC$5,Fecha_incio&lt;DD$5)</formula>
    </cfRule>
  </conditionalFormatting>
  <conditionalFormatting sqref="DJ5:DP22 DJ24:DP29 DK23:DP23">
    <cfRule type="expression" dxfId="2" priority="3">
      <formula>AND(TODAY()&gt;=DJ$5,TODAY()&lt;DK$5)</formula>
    </cfRule>
  </conditionalFormatting>
  <conditionalFormatting sqref="DJ7:DP22 DJ24:DP29 DK23:DP23">
    <cfRule type="expression" dxfId="1" priority="1">
      <formula>AND(Fecha_incio&lt;=DJ$5,ROUNDDOWN((Fecha_final-Fecha_incio+1)*Progresos,0)+Fecha_incio-1&gt;=DJ$5)</formula>
    </cfRule>
    <cfRule type="expression" dxfId="0" priority="2" stopIfTrue="1">
      <formula>AND(Fecha_final&gt;=DJ$5,Fecha_incio&lt;DK$5)</formula>
    </cfRule>
  </conditionalFormatting>
  <dataValidations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printOptions horizontalCentered="1"/>
  <pageMargins left="0.35" right="0.35" top="0.35" bottom="0.5" header="0.3" footer="0.3"/>
  <pageSetup paperSize="9"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4AB0B-136C-4183-8977-E2A2E38BBD97}">
  <sheetPr>
    <tabColor theme="1"/>
  </sheetPr>
  <dimension ref="A1:XFC2"/>
  <sheetViews>
    <sheetView showGridLines="0" workbookViewId="0">
      <selection activeCell="B1048576" sqref="B1:B1048576"/>
    </sheetView>
  </sheetViews>
  <sheetFormatPr baseColWidth="10" defaultColWidth="0" defaultRowHeight="14.5" customHeight="1" zeroHeight="1" x14ac:dyDescent="0.35"/>
  <cols>
    <col min="1" max="1" width="3.26953125" style="69" customWidth="1"/>
    <col min="2" max="2" width="88.26953125" style="69" customWidth="1"/>
    <col min="3" max="16381" width="10.7265625" style="69" hidden="1"/>
    <col min="16382" max="16382" width="28.81640625" style="69" hidden="1" customWidth="1"/>
    <col min="16383" max="16383" width="25.1796875" style="69" hidden="1" customWidth="1"/>
    <col min="16384" max="16384" width="18.26953125" style="69" hidden="1" customWidth="1"/>
  </cols>
  <sheetData>
    <row r="1" spans="2:2" ht="19.899999999999999" customHeight="1" x14ac:dyDescent="0.35"/>
    <row r="2" spans="2:2" ht="105" customHeight="1" x14ac:dyDescent="0.35">
      <c r="B2" s="70" t="s">
        <v>28</v>
      </c>
    </row>
  </sheetData>
  <pageMargins left="0.7" right="0.7" top="0.75" bottom="0.75" header="0.3" footer="0.3"/>
  <pageSetup orientation="landscape"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calendarioproyecto</vt:lpstr>
      <vt:lpstr>DESCARGA DE RESPONSABILIDAD</vt:lpstr>
      <vt:lpstr>calendarioproyecto!Fecha_final</vt:lpstr>
      <vt:lpstr>calendarioproyecto!Fecha_incio</vt:lpstr>
      <vt:lpstr>InicioDelProyecto</vt:lpstr>
      <vt:lpstr>calendarioproyecto!Progresos</vt:lpstr>
      <vt:lpstr>SemanaParaMostrar</vt:lpstr>
      <vt:lpstr>calendarioproyecto!Títulos_a_imprimir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2019-03-19T17:17:03Z</dcterms:created>
  <dcterms:modified xsi:type="dcterms:W3CDTF">2025-11-12T00:54:31Z</dcterms:modified>
</cp:coreProperties>
</file>